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Employee_Master" sheetId="4" state="visible" r:id="rId4"/>
    <sheet xmlns:r="http://schemas.openxmlformats.org/officeDocument/2006/relationships" name="Calculations" sheetId="5" state="visible" r:id="rId5"/>
    <sheet xmlns:r="http://schemas.openxmlformats.org/officeDocument/2006/relationships" name="Lookup_Text_Date" sheetId="6" state="visible" r:id="rId6"/>
    <sheet xmlns:r="http://schemas.openxmlformats.org/officeDocument/2006/relationships" name="Pivot_Analysi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'Dashboard'!$C$10:$C$13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lSalesData" displayName="FinalSalesData" ref="A3:Q83" headerRowCount="1">
  <autoFilter ref="A3:Q83"/>
  <tableColumns count="17">
    <tableColumn id="1" name="Order_ID"/>
    <tableColumn id="2" name="Date"/>
    <tableColumn id="3" name="Region"/>
    <tableColumn id="4" name="Category"/>
    <tableColumn id="5" name="Product"/>
    <tableColumn id="6" name="Salesperson"/>
    <tableColumn id="7" name="Qty"/>
    <tableColumn id="8" name="Price"/>
    <tableColumn id="9" name="Discount"/>
    <tableColumn id="10" name="Status"/>
    <tableColumn id="11" name="Gross Sales"/>
    <tableColumn id="12" name="Discount Amount"/>
    <tableColumn id="13" name="Net Sales"/>
    <tableColumn id="14" name="Profit"/>
    <tableColumn id="15" name="Month"/>
    <tableColumn id="16" name="Year"/>
    <tableColumn id="17" name="Da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Day 14 - FINAL EXCEL PROJECT</t>
        </is>
      </c>
    </row>
    <row r="2"/>
    <row r="3">
      <c r="A3" t="inlineStr">
        <is>
          <t>Project: Sales Analytics + Employee Analytics</t>
        </is>
      </c>
    </row>
    <row r="4"/>
    <row r="5">
      <c r="A5" t="inlineStr">
        <is>
          <t>Complete topics included:</t>
        </is>
      </c>
    </row>
    <row r="6">
      <c r="A6" t="inlineStr">
        <is>
          <t>1. Excel Basics &amp; Formatting</t>
        </is>
      </c>
    </row>
    <row r="7">
      <c r="A7" t="inlineStr">
        <is>
          <t>2. Excel Tables</t>
        </is>
      </c>
    </row>
    <row r="8">
      <c r="A8" t="inlineStr">
        <is>
          <t>3. Basic Functions</t>
        </is>
      </c>
    </row>
    <row r="9">
      <c r="A9" t="inlineStr">
        <is>
          <t>4. IF / AND / OR / IFERROR</t>
        </is>
      </c>
    </row>
    <row r="10">
      <c r="A10" t="inlineStr">
        <is>
          <t>5. SUMIF / SUMIFS / COUNTIF / COUNTIFS / AVERAGEIF</t>
        </is>
      </c>
    </row>
    <row r="11">
      <c r="A11" t="inlineStr">
        <is>
          <t>6. XLOOKUP / VLOOKUP / INDEX-MATCH</t>
        </is>
      </c>
    </row>
    <row r="12">
      <c r="A12" t="inlineStr">
        <is>
          <t>7. LEFT / RIGHT / MID / LEN / TRIM / UPPER / LOWER / PROPER</t>
        </is>
      </c>
    </row>
    <row r="13">
      <c r="A13" t="inlineStr">
        <is>
          <t>8. CONCAT / TEXTJOIN / SUBSTITUTE / FIND / SEARCH / REPLACE</t>
        </is>
      </c>
    </row>
    <row r="14">
      <c r="A14" t="inlineStr">
        <is>
          <t>9. YEAR / MONTH / DAY / WEEKDAY / WEEKNUM / EOMONTH / TODAY</t>
        </is>
      </c>
    </row>
    <row r="15">
      <c r="A15" t="inlineStr">
        <is>
          <t>10. Pivot-style Analysis</t>
        </is>
      </c>
    </row>
    <row r="16">
      <c r="A16" t="inlineStr">
        <is>
          <t>11. Charts</t>
        </is>
      </c>
    </row>
    <row r="17">
      <c r="A17" t="inlineStr">
        <is>
          <t>12. Dashboard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17" customWidth="1" min="12" max="12"/>
    <col width="11" customWidth="1" min="13" max="13"/>
    <col width="26" customWidth="1" min="14" max="14"/>
    <col width="18" customWidth="1" min="15" max="15"/>
    <col width="12" customWidth="1" min="16" max="16"/>
    <col width="19" customWidth="1" min="17" max="17"/>
  </cols>
  <sheetData>
    <row r="1"/>
    <row r="2"/>
    <row r="3">
      <c r="A3" s="2" t="inlineStr">
        <is>
          <t>Order_ID</t>
        </is>
      </c>
      <c r="B3" s="2" t="inlineStr">
        <is>
          <t>Date</t>
        </is>
      </c>
      <c r="C3" s="2" t="inlineStr">
        <is>
          <t>Region</t>
        </is>
      </c>
      <c r="D3" s="2" t="inlineStr">
        <is>
          <t>Category</t>
        </is>
      </c>
      <c r="E3" s="2" t="inlineStr">
        <is>
          <t>Product</t>
        </is>
      </c>
      <c r="F3" s="2" t="inlineStr">
        <is>
          <t>Salesperson</t>
        </is>
      </c>
      <c r="G3" s="2" t="inlineStr">
        <is>
          <t>Qty</t>
        </is>
      </c>
      <c r="H3" s="2" t="inlineStr">
        <is>
          <t>Price</t>
        </is>
      </c>
      <c r="I3" s="2" t="inlineStr">
        <is>
          <t>Discount</t>
        </is>
      </c>
      <c r="J3" s="2" t="inlineStr">
        <is>
          <t>Status</t>
        </is>
      </c>
      <c r="K3" s="2" t="inlineStr">
        <is>
          <t>Gross Sales</t>
        </is>
      </c>
      <c r="L3" s="2" t="inlineStr">
        <is>
          <t>Discount Amount</t>
        </is>
      </c>
      <c r="M3" s="2" t="inlineStr">
        <is>
          <t>Net Sales</t>
        </is>
      </c>
      <c r="N3" s="2" t="inlineStr">
        <is>
          <t>Profit</t>
        </is>
      </c>
      <c r="O3" s="2" t="inlineStr">
        <is>
          <t>Month</t>
        </is>
      </c>
      <c r="P3" s="2" t="inlineStr">
        <is>
          <t>Year</t>
        </is>
      </c>
      <c r="Q3" s="2" t="inlineStr">
        <is>
          <t>Day</t>
        </is>
      </c>
    </row>
    <row r="4">
      <c r="A4" t="inlineStr">
        <is>
          <t>O001</t>
        </is>
      </c>
      <c r="B4" s="3" t="n">
        <v>45690</v>
      </c>
      <c r="C4" t="inlineStr">
        <is>
          <t>South</t>
        </is>
      </c>
      <c r="D4" t="inlineStr">
        <is>
          <t>Electronics</t>
        </is>
      </c>
      <c r="E4" t="inlineStr">
        <is>
          <t>Laptop</t>
        </is>
      </c>
      <c r="F4" t="inlineStr">
        <is>
          <t>Riya</t>
        </is>
      </c>
      <c r="G4" t="n">
        <v>2</v>
      </c>
      <c r="H4" t="n">
        <v>55000</v>
      </c>
      <c r="I4" t="n">
        <v>0.02</v>
      </c>
      <c r="J4" t="inlineStr">
        <is>
          <t>Completed</t>
        </is>
      </c>
      <c r="K4">
        <f>G4*H4</f>
        <v/>
      </c>
      <c r="L4">
        <f>K4*I4</f>
        <v/>
      </c>
      <c r="M4">
        <f>K4-L4</f>
        <v/>
      </c>
      <c r="N4">
        <f>M4*IF(D4="Electronics",0.15,IF(D4="Furniture",0.20,0.25))</f>
        <v/>
      </c>
      <c r="O4">
        <f>TEXT(B4,"mmm")</f>
        <v/>
      </c>
      <c r="P4">
        <f>YEAR(B4)</f>
        <v/>
      </c>
      <c r="Q4">
        <f>TEXT(B4,"dddd")</f>
        <v/>
      </c>
    </row>
    <row r="5">
      <c r="A5" t="inlineStr">
        <is>
          <t>O002</t>
        </is>
      </c>
      <c r="B5" s="3" t="n">
        <v>45719</v>
      </c>
      <c r="C5" t="inlineStr">
        <is>
          <t>East</t>
        </is>
      </c>
      <c r="D5" t="inlineStr">
        <is>
          <t>Electronics</t>
        </is>
      </c>
      <c r="E5" t="inlineStr">
        <is>
          <t>Monitor</t>
        </is>
      </c>
      <c r="F5" t="inlineStr">
        <is>
          <t>Rahul</t>
        </is>
      </c>
      <c r="G5" t="n">
        <v>3</v>
      </c>
      <c r="H5" t="n">
        <v>18000</v>
      </c>
      <c r="I5" t="n">
        <v>0.05</v>
      </c>
      <c r="J5" t="inlineStr">
        <is>
          <t>Pending</t>
        </is>
      </c>
      <c r="K5">
        <f>G5*H5</f>
        <v/>
      </c>
      <c r="L5">
        <f>K5*I5</f>
        <v/>
      </c>
      <c r="M5">
        <f>K5-L5</f>
        <v/>
      </c>
      <c r="N5">
        <f>M5*IF(D5="Electronics",0.15,IF(D5="Furniture",0.20,0.25))</f>
        <v/>
      </c>
      <c r="O5">
        <f>TEXT(B5,"mmm")</f>
        <v/>
      </c>
      <c r="P5">
        <f>YEAR(B5)</f>
        <v/>
      </c>
      <c r="Q5">
        <f>TEXT(B5,"dddd")</f>
        <v/>
      </c>
    </row>
    <row r="6">
      <c r="A6" t="inlineStr">
        <is>
          <t>O003</t>
        </is>
      </c>
      <c r="B6" s="3" t="n">
        <v>45751</v>
      </c>
      <c r="C6" t="inlineStr">
        <is>
          <t>West</t>
        </is>
      </c>
      <c r="D6" t="inlineStr">
        <is>
          <t>Accessories</t>
        </is>
      </c>
      <c r="E6" t="inlineStr">
        <is>
          <t>Mouse</t>
        </is>
      </c>
      <c r="F6" t="inlineStr">
        <is>
          <t>Neha</t>
        </is>
      </c>
      <c r="G6" t="n">
        <v>4</v>
      </c>
      <c r="H6" t="n">
        <v>900</v>
      </c>
      <c r="I6" t="n">
        <v>0.08</v>
      </c>
      <c r="J6" t="inlineStr">
        <is>
          <t>Cancelled</t>
        </is>
      </c>
      <c r="K6">
        <f>G6*H6</f>
        <v/>
      </c>
      <c r="L6">
        <f>K6*I6</f>
        <v/>
      </c>
      <c r="M6">
        <f>K6-L6</f>
        <v/>
      </c>
      <c r="N6">
        <f>M6*IF(D6="Electronics",0.15,IF(D6="Furniture",0.20,0.25))</f>
        <v/>
      </c>
      <c r="O6">
        <f>TEXT(B6,"mmm")</f>
        <v/>
      </c>
      <c r="P6">
        <f>YEAR(B6)</f>
        <v/>
      </c>
      <c r="Q6">
        <f>TEXT(B6,"dddd")</f>
        <v/>
      </c>
    </row>
    <row r="7">
      <c r="A7" t="inlineStr">
        <is>
          <t>O004</t>
        </is>
      </c>
      <c r="B7" s="3" t="n">
        <v>45782</v>
      </c>
      <c r="C7" t="inlineStr">
        <is>
          <t>North</t>
        </is>
      </c>
      <c r="D7" t="inlineStr">
        <is>
          <t>Furniture</t>
        </is>
      </c>
      <c r="E7" t="inlineStr">
        <is>
          <t>Chair</t>
        </is>
      </c>
      <c r="F7" t="inlineStr">
        <is>
          <t>Kabir</t>
        </is>
      </c>
      <c r="G7" t="n">
        <v>5</v>
      </c>
      <c r="H7" t="n">
        <v>8500</v>
      </c>
      <c r="I7" t="n">
        <v>0.1</v>
      </c>
      <c r="J7" t="inlineStr">
        <is>
          <t>Completed</t>
        </is>
      </c>
      <c r="K7">
        <f>G7*H7</f>
        <v/>
      </c>
      <c r="L7">
        <f>K7*I7</f>
        <v/>
      </c>
      <c r="M7">
        <f>K7-L7</f>
        <v/>
      </c>
      <c r="N7">
        <f>M7*IF(D7="Electronics",0.15,IF(D7="Furniture",0.20,0.25))</f>
        <v/>
      </c>
      <c r="O7">
        <f>TEXT(B7,"mmm")</f>
        <v/>
      </c>
      <c r="P7">
        <f>YEAR(B7)</f>
        <v/>
      </c>
      <c r="Q7">
        <f>TEXT(B7,"dddd")</f>
        <v/>
      </c>
    </row>
    <row r="8">
      <c r="A8" t="inlineStr">
        <is>
          <t>O005</t>
        </is>
      </c>
      <c r="B8" s="3" t="n">
        <v>45814</v>
      </c>
      <c r="C8" t="inlineStr">
        <is>
          <t>South</t>
        </is>
      </c>
      <c r="D8" t="inlineStr">
        <is>
          <t>Furniture</t>
        </is>
      </c>
      <c r="E8" t="inlineStr">
        <is>
          <t>Desk</t>
        </is>
      </c>
      <c r="F8" t="inlineStr">
        <is>
          <t>Sana</t>
        </is>
      </c>
      <c r="G8" t="n">
        <v>6</v>
      </c>
      <c r="H8" t="n">
        <v>12000</v>
      </c>
      <c r="I8" t="n">
        <v>0</v>
      </c>
      <c r="J8" t="inlineStr">
        <is>
          <t>Completed</t>
        </is>
      </c>
      <c r="K8">
        <f>G8*H8</f>
        <v/>
      </c>
      <c r="L8">
        <f>K8*I8</f>
        <v/>
      </c>
      <c r="M8">
        <f>K8-L8</f>
        <v/>
      </c>
      <c r="N8">
        <f>M8*IF(D8="Electronics",0.15,IF(D8="Furniture",0.20,0.25))</f>
        <v/>
      </c>
      <c r="O8">
        <f>TEXT(B8,"mmm")</f>
        <v/>
      </c>
      <c r="P8">
        <f>YEAR(B8)</f>
        <v/>
      </c>
      <c r="Q8">
        <f>TEXT(B8,"dddd")</f>
        <v/>
      </c>
    </row>
    <row r="9">
      <c r="A9" t="inlineStr">
        <is>
          <t>O006</t>
        </is>
      </c>
      <c r="B9" s="3" t="n">
        <v>45845</v>
      </c>
      <c r="C9" t="inlineStr">
        <is>
          <t>East</t>
        </is>
      </c>
      <c r="D9" t="inlineStr">
        <is>
          <t>Accessories</t>
        </is>
      </c>
      <c r="E9" t="inlineStr">
        <is>
          <t>Keyboard</t>
        </is>
      </c>
      <c r="F9" t="inlineStr">
        <is>
          <t>Ishaan</t>
        </is>
      </c>
      <c r="G9" t="n">
        <v>7</v>
      </c>
      <c r="H9" t="n">
        <v>1800</v>
      </c>
      <c r="I9" t="n">
        <v>0.02</v>
      </c>
      <c r="J9" t="inlineStr">
        <is>
          <t>Pending</t>
        </is>
      </c>
      <c r="K9">
        <f>G9*H9</f>
        <v/>
      </c>
      <c r="L9">
        <f>K9*I9</f>
        <v/>
      </c>
      <c r="M9">
        <f>K9-L9</f>
        <v/>
      </c>
      <c r="N9">
        <f>M9*IF(D9="Electronics",0.15,IF(D9="Furniture",0.20,0.25))</f>
        <v/>
      </c>
      <c r="O9">
        <f>TEXT(B9,"mmm")</f>
        <v/>
      </c>
      <c r="P9">
        <f>YEAR(B9)</f>
        <v/>
      </c>
      <c r="Q9">
        <f>TEXT(B9,"dddd")</f>
        <v/>
      </c>
    </row>
    <row r="10">
      <c r="A10" t="inlineStr">
        <is>
          <t>O007</t>
        </is>
      </c>
      <c r="B10" s="3" t="n">
        <v>45877</v>
      </c>
      <c r="C10" t="inlineStr">
        <is>
          <t>West</t>
        </is>
      </c>
      <c r="D10" t="inlineStr">
        <is>
          <t>Electronics</t>
        </is>
      </c>
      <c r="E10" t="inlineStr">
        <is>
          <t>Laptop</t>
        </is>
      </c>
      <c r="F10" t="inlineStr">
        <is>
          <t>Meera</t>
        </is>
      </c>
      <c r="G10" t="n">
        <v>8</v>
      </c>
      <c r="H10" t="n">
        <v>55000</v>
      </c>
      <c r="I10" t="n">
        <v>0.05</v>
      </c>
      <c r="J10" t="inlineStr">
        <is>
          <t>Cancelled</t>
        </is>
      </c>
      <c r="K10">
        <f>G10*H10</f>
        <v/>
      </c>
      <c r="L10">
        <f>K10*I10</f>
        <v/>
      </c>
      <c r="M10">
        <f>K10-L10</f>
        <v/>
      </c>
      <c r="N10">
        <f>M10*IF(D10="Electronics",0.15,IF(D10="Furniture",0.20,0.25))</f>
        <v/>
      </c>
      <c r="O10">
        <f>TEXT(B10,"mmm")</f>
        <v/>
      </c>
      <c r="P10">
        <f>YEAR(B10)</f>
        <v/>
      </c>
      <c r="Q10">
        <f>TEXT(B10,"dddd")</f>
        <v/>
      </c>
    </row>
    <row r="11">
      <c r="A11" t="inlineStr">
        <is>
          <t>O008</t>
        </is>
      </c>
      <c r="B11" s="3" t="n">
        <v>45909</v>
      </c>
      <c r="C11" t="inlineStr">
        <is>
          <t>North</t>
        </is>
      </c>
      <c r="D11" t="inlineStr">
        <is>
          <t>Electronics</t>
        </is>
      </c>
      <c r="E11" t="inlineStr">
        <is>
          <t>Monitor</t>
        </is>
      </c>
      <c r="F11" t="inlineStr">
        <is>
          <t>Aarav</t>
        </is>
      </c>
      <c r="G11" t="n">
        <v>1</v>
      </c>
      <c r="H11" t="n">
        <v>18000</v>
      </c>
      <c r="I11" t="n">
        <v>0.08</v>
      </c>
      <c r="J11" t="inlineStr">
        <is>
          <t>Completed</t>
        </is>
      </c>
      <c r="K11">
        <f>G11*H11</f>
        <v/>
      </c>
      <c r="L11">
        <f>K11*I11</f>
        <v/>
      </c>
      <c r="M11">
        <f>K11-L11</f>
        <v/>
      </c>
      <c r="N11">
        <f>M11*IF(D11="Electronics",0.15,IF(D11="Furniture",0.20,0.25))</f>
        <v/>
      </c>
      <c r="O11">
        <f>TEXT(B11,"mmm")</f>
        <v/>
      </c>
      <c r="P11">
        <f>YEAR(B11)</f>
        <v/>
      </c>
      <c r="Q11">
        <f>TEXT(B11,"dddd")</f>
        <v/>
      </c>
    </row>
    <row r="12">
      <c r="A12" t="inlineStr">
        <is>
          <t>O009</t>
        </is>
      </c>
      <c r="B12" s="3" t="n">
        <v>45940</v>
      </c>
      <c r="C12" t="inlineStr">
        <is>
          <t>South</t>
        </is>
      </c>
      <c r="D12" t="inlineStr">
        <is>
          <t>Accessories</t>
        </is>
      </c>
      <c r="E12" t="inlineStr">
        <is>
          <t>Mouse</t>
        </is>
      </c>
      <c r="F12" t="inlineStr">
        <is>
          <t>Riya</t>
        </is>
      </c>
      <c r="G12" t="n">
        <v>2</v>
      </c>
      <c r="H12" t="n">
        <v>900</v>
      </c>
      <c r="I12" t="n">
        <v>0.1</v>
      </c>
      <c r="J12" t="inlineStr">
        <is>
          <t>Completed</t>
        </is>
      </c>
      <c r="K12">
        <f>G12*H12</f>
        <v/>
      </c>
      <c r="L12">
        <f>K12*I12</f>
        <v/>
      </c>
      <c r="M12">
        <f>K12-L12</f>
        <v/>
      </c>
      <c r="N12">
        <f>M12*IF(D12="Electronics",0.15,IF(D12="Furniture",0.20,0.25))</f>
        <v/>
      </c>
      <c r="O12">
        <f>TEXT(B12,"mmm")</f>
        <v/>
      </c>
      <c r="P12">
        <f>YEAR(B12)</f>
        <v/>
      </c>
      <c r="Q12">
        <f>TEXT(B12,"dddd")</f>
        <v/>
      </c>
    </row>
    <row r="13">
      <c r="A13" t="inlineStr">
        <is>
          <t>O010</t>
        </is>
      </c>
      <c r="B13" s="3" t="n">
        <v>45972</v>
      </c>
      <c r="C13" t="inlineStr">
        <is>
          <t>East</t>
        </is>
      </c>
      <c r="D13" t="inlineStr">
        <is>
          <t>Furniture</t>
        </is>
      </c>
      <c r="E13" t="inlineStr">
        <is>
          <t>Chair</t>
        </is>
      </c>
      <c r="F13" t="inlineStr">
        <is>
          <t>Rahul</t>
        </is>
      </c>
      <c r="G13" t="n">
        <v>3</v>
      </c>
      <c r="H13" t="n">
        <v>8500</v>
      </c>
      <c r="I13" t="n">
        <v>0</v>
      </c>
      <c r="J13" t="inlineStr">
        <is>
          <t>Pending</t>
        </is>
      </c>
      <c r="K13">
        <f>G13*H13</f>
        <v/>
      </c>
      <c r="L13">
        <f>K13*I13</f>
        <v/>
      </c>
      <c r="M13">
        <f>K13-L13</f>
        <v/>
      </c>
      <c r="N13">
        <f>M13*IF(D13="Electronics",0.15,IF(D13="Furniture",0.20,0.25))</f>
        <v/>
      </c>
      <c r="O13">
        <f>TEXT(B13,"mmm")</f>
        <v/>
      </c>
      <c r="P13">
        <f>YEAR(B13)</f>
        <v/>
      </c>
      <c r="Q13">
        <f>TEXT(B13,"dddd")</f>
        <v/>
      </c>
    </row>
    <row r="14">
      <c r="A14" t="inlineStr">
        <is>
          <t>O011</t>
        </is>
      </c>
      <c r="B14" s="3" t="n">
        <v>46003</v>
      </c>
      <c r="C14" t="inlineStr">
        <is>
          <t>West</t>
        </is>
      </c>
      <c r="D14" t="inlineStr">
        <is>
          <t>Furniture</t>
        </is>
      </c>
      <c r="E14" t="inlineStr">
        <is>
          <t>Desk</t>
        </is>
      </c>
      <c r="F14" t="inlineStr">
        <is>
          <t>Neha</t>
        </is>
      </c>
      <c r="G14" t="n">
        <v>4</v>
      </c>
      <c r="H14" t="n">
        <v>12000</v>
      </c>
      <c r="I14" t="n">
        <v>0.02</v>
      </c>
      <c r="J14" t="inlineStr">
        <is>
          <t>Cancelled</t>
        </is>
      </c>
      <c r="K14">
        <f>G14*H14</f>
        <v/>
      </c>
      <c r="L14">
        <f>K14*I14</f>
        <v/>
      </c>
      <c r="M14">
        <f>K14-L14</f>
        <v/>
      </c>
      <c r="N14">
        <f>M14*IF(D14="Electronics",0.15,IF(D14="Furniture",0.20,0.25))</f>
        <v/>
      </c>
      <c r="O14">
        <f>TEXT(B14,"mmm")</f>
        <v/>
      </c>
      <c r="P14">
        <f>YEAR(B14)</f>
        <v/>
      </c>
      <c r="Q14">
        <f>TEXT(B14,"dddd")</f>
        <v/>
      </c>
    </row>
    <row r="15">
      <c r="A15" t="inlineStr">
        <is>
          <t>O012</t>
        </is>
      </c>
      <c r="B15" s="3" t="n">
        <v>45670</v>
      </c>
      <c r="C15" t="inlineStr">
        <is>
          <t>North</t>
        </is>
      </c>
      <c r="D15" t="inlineStr">
        <is>
          <t>Accessories</t>
        </is>
      </c>
      <c r="E15" t="inlineStr">
        <is>
          <t>Keyboard</t>
        </is>
      </c>
      <c r="F15" t="inlineStr">
        <is>
          <t>Kabir</t>
        </is>
      </c>
      <c r="G15" t="n">
        <v>5</v>
      </c>
      <c r="H15" t="n">
        <v>1800</v>
      </c>
      <c r="I15" t="n">
        <v>0.05</v>
      </c>
      <c r="J15" t="inlineStr">
        <is>
          <t>Completed</t>
        </is>
      </c>
      <c r="K15">
        <f>G15*H15</f>
        <v/>
      </c>
      <c r="L15">
        <f>K15*I15</f>
        <v/>
      </c>
      <c r="M15">
        <f>K15-L15</f>
        <v/>
      </c>
      <c r="N15">
        <f>M15*IF(D15="Electronics",0.15,IF(D15="Furniture",0.20,0.25))</f>
        <v/>
      </c>
      <c r="O15">
        <f>TEXT(B15,"mmm")</f>
        <v/>
      </c>
      <c r="P15">
        <f>YEAR(B15)</f>
        <v/>
      </c>
      <c r="Q15">
        <f>TEXT(B15,"dddd")</f>
        <v/>
      </c>
    </row>
    <row r="16">
      <c r="A16" t="inlineStr">
        <is>
          <t>O013</t>
        </is>
      </c>
      <c r="B16" s="3" t="n">
        <v>45702</v>
      </c>
      <c r="C16" t="inlineStr">
        <is>
          <t>South</t>
        </is>
      </c>
      <c r="D16" t="inlineStr">
        <is>
          <t>Electronics</t>
        </is>
      </c>
      <c r="E16" t="inlineStr">
        <is>
          <t>Laptop</t>
        </is>
      </c>
      <c r="F16" t="inlineStr">
        <is>
          <t>Sana</t>
        </is>
      </c>
      <c r="G16" t="n">
        <v>6</v>
      </c>
      <c r="H16" t="n">
        <v>55000</v>
      </c>
      <c r="I16" t="n">
        <v>0.08</v>
      </c>
      <c r="J16" t="inlineStr">
        <is>
          <t>Completed</t>
        </is>
      </c>
      <c r="K16">
        <f>G16*H16</f>
        <v/>
      </c>
      <c r="L16">
        <f>K16*I16</f>
        <v/>
      </c>
      <c r="M16">
        <f>K16-L16</f>
        <v/>
      </c>
      <c r="N16">
        <f>M16*IF(D16="Electronics",0.15,IF(D16="Furniture",0.20,0.25))</f>
        <v/>
      </c>
      <c r="O16">
        <f>TEXT(B16,"mmm")</f>
        <v/>
      </c>
      <c r="P16">
        <f>YEAR(B16)</f>
        <v/>
      </c>
      <c r="Q16">
        <f>TEXT(B16,"dddd")</f>
        <v/>
      </c>
    </row>
    <row r="17">
      <c r="A17" t="inlineStr">
        <is>
          <t>O014</t>
        </is>
      </c>
      <c r="B17" s="3" t="n">
        <v>45731</v>
      </c>
      <c r="C17" t="inlineStr">
        <is>
          <t>East</t>
        </is>
      </c>
      <c r="D17" t="inlineStr">
        <is>
          <t>Electronics</t>
        </is>
      </c>
      <c r="E17" t="inlineStr">
        <is>
          <t>Monitor</t>
        </is>
      </c>
      <c r="F17" t="inlineStr">
        <is>
          <t>Ishaan</t>
        </is>
      </c>
      <c r="G17" t="n">
        <v>7</v>
      </c>
      <c r="H17" t="n">
        <v>18000</v>
      </c>
      <c r="I17" t="n">
        <v>0.1</v>
      </c>
      <c r="J17" t="inlineStr">
        <is>
          <t>Pending</t>
        </is>
      </c>
      <c r="K17">
        <f>G17*H17</f>
        <v/>
      </c>
      <c r="L17">
        <f>K17*I17</f>
        <v/>
      </c>
      <c r="M17">
        <f>K17-L17</f>
        <v/>
      </c>
      <c r="N17">
        <f>M17*IF(D17="Electronics",0.15,IF(D17="Furniture",0.20,0.25))</f>
        <v/>
      </c>
      <c r="O17">
        <f>TEXT(B17,"mmm")</f>
        <v/>
      </c>
      <c r="P17">
        <f>YEAR(B17)</f>
        <v/>
      </c>
      <c r="Q17">
        <f>TEXT(B17,"dddd")</f>
        <v/>
      </c>
    </row>
    <row r="18">
      <c r="A18" t="inlineStr">
        <is>
          <t>O015</t>
        </is>
      </c>
      <c r="B18" s="3" t="n">
        <v>45763</v>
      </c>
      <c r="C18" t="inlineStr">
        <is>
          <t>West</t>
        </is>
      </c>
      <c r="D18" t="inlineStr">
        <is>
          <t>Accessories</t>
        </is>
      </c>
      <c r="E18" t="inlineStr">
        <is>
          <t>Mouse</t>
        </is>
      </c>
      <c r="F18" t="inlineStr">
        <is>
          <t>Meera</t>
        </is>
      </c>
      <c r="G18" t="n">
        <v>8</v>
      </c>
      <c r="H18" t="n">
        <v>900</v>
      </c>
      <c r="I18" t="n">
        <v>0</v>
      </c>
      <c r="J18" t="inlineStr">
        <is>
          <t>Cancelled</t>
        </is>
      </c>
      <c r="K18">
        <f>G18*H18</f>
        <v/>
      </c>
      <c r="L18">
        <f>K18*I18</f>
        <v/>
      </c>
      <c r="M18">
        <f>K18-L18</f>
        <v/>
      </c>
      <c r="N18">
        <f>M18*IF(D18="Electronics",0.15,IF(D18="Furniture",0.20,0.25))</f>
        <v/>
      </c>
      <c r="O18">
        <f>TEXT(B18,"mmm")</f>
        <v/>
      </c>
      <c r="P18">
        <f>YEAR(B18)</f>
        <v/>
      </c>
      <c r="Q18">
        <f>TEXT(B18,"dddd")</f>
        <v/>
      </c>
    </row>
    <row r="19">
      <c r="A19" t="inlineStr">
        <is>
          <t>O016</t>
        </is>
      </c>
      <c r="B19" s="3" t="n">
        <v>45794</v>
      </c>
      <c r="C19" t="inlineStr">
        <is>
          <t>North</t>
        </is>
      </c>
      <c r="D19" t="inlineStr">
        <is>
          <t>Furniture</t>
        </is>
      </c>
      <c r="E19" t="inlineStr">
        <is>
          <t>Chair</t>
        </is>
      </c>
      <c r="F19" t="inlineStr">
        <is>
          <t>Aarav</t>
        </is>
      </c>
      <c r="G19" t="n">
        <v>1</v>
      </c>
      <c r="H19" t="n">
        <v>8500</v>
      </c>
      <c r="I19" t="n">
        <v>0.02</v>
      </c>
      <c r="J19" t="inlineStr">
        <is>
          <t>Completed</t>
        </is>
      </c>
      <c r="K19">
        <f>G19*H19</f>
        <v/>
      </c>
      <c r="L19">
        <f>K19*I19</f>
        <v/>
      </c>
      <c r="M19">
        <f>K19-L19</f>
        <v/>
      </c>
      <c r="N19">
        <f>M19*IF(D19="Electronics",0.15,IF(D19="Furniture",0.20,0.25))</f>
        <v/>
      </c>
      <c r="O19">
        <f>TEXT(B19,"mmm")</f>
        <v/>
      </c>
      <c r="P19">
        <f>YEAR(B19)</f>
        <v/>
      </c>
      <c r="Q19">
        <f>TEXT(B19,"dddd")</f>
        <v/>
      </c>
    </row>
    <row r="20">
      <c r="A20" t="inlineStr">
        <is>
          <t>O017</t>
        </is>
      </c>
      <c r="B20" s="3" t="n">
        <v>45826</v>
      </c>
      <c r="C20" t="inlineStr">
        <is>
          <t>South</t>
        </is>
      </c>
      <c r="D20" t="inlineStr">
        <is>
          <t>Furniture</t>
        </is>
      </c>
      <c r="E20" t="inlineStr">
        <is>
          <t>Desk</t>
        </is>
      </c>
      <c r="F20" t="inlineStr">
        <is>
          <t>Riya</t>
        </is>
      </c>
      <c r="G20" t="n">
        <v>2</v>
      </c>
      <c r="H20" t="n">
        <v>12000</v>
      </c>
      <c r="I20" t="n">
        <v>0.05</v>
      </c>
      <c r="J20" t="inlineStr">
        <is>
          <t>Completed</t>
        </is>
      </c>
      <c r="K20">
        <f>G20*H20</f>
        <v/>
      </c>
      <c r="L20">
        <f>K20*I20</f>
        <v/>
      </c>
      <c r="M20">
        <f>K20-L20</f>
        <v/>
      </c>
      <c r="N20">
        <f>M20*IF(D20="Electronics",0.15,IF(D20="Furniture",0.20,0.25))</f>
        <v/>
      </c>
      <c r="O20">
        <f>TEXT(B20,"mmm")</f>
        <v/>
      </c>
      <c r="P20">
        <f>YEAR(B20)</f>
        <v/>
      </c>
      <c r="Q20">
        <f>TEXT(B20,"dddd")</f>
        <v/>
      </c>
    </row>
    <row r="21">
      <c r="A21" t="inlineStr">
        <is>
          <t>O018</t>
        </is>
      </c>
      <c r="B21" s="3" t="n">
        <v>45857</v>
      </c>
      <c r="C21" t="inlineStr">
        <is>
          <t>East</t>
        </is>
      </c>
      <c r="D21" t="inlineStr">
        <is>
          <t>Accessories</t>
        </is>
      </c>
      <c r="E21" t="inlineStr">
        <is>
          <t>Keyboard</t>
        </is>
      </c>
      <c r="F21" t="inlineStr">
        <is>
          <t>Rahul</t>
        </is>
      </c>
      <c r="G21" t="n">
        <v>3</v>
      </c>
      <c r="H21" t="n">
        <v>1800</v>
      </c>
      <c r="I21" t="n">
        <v>0.08</v>
      </c>
      <c r="J21" t="inlineStr">
        <is>
          <t>Pending</t>
        </is>
      </c>
      <c r="K21">
        <f>G21*H21</f>
        <v/>
      </c>
      <c r="L21">
        <f>K21*I21</f>
        <v/>
      </c>
      <c r="M21">
        <f>K21-L21</f>
        <v/>
      </c>
      <c r="N21">
        <f>M21*IF(D21="Electronics",0.15,IF(D21="Furniture",0.20,0.25))</f>
        <v/>
      </c>
      <c r="O21">
        <f>TEXT(B21,"mmm")</f>
        <v/>
      </c>
      <c r="P21">
        <f>YEAR(B21)</f>
        <v/>
      </c>
      <c r="Q21">
        <f>TEXT(B21,"dddd")</f>
        <v/>
      </c>
    </row>
    <row r="22">
      <c r="A22" t="inlineStr">
        <is>
          <t>O019</t>
        </is>
      </c>
      <c r="B22" s="3" t="n">
        <v>45889</v>
      </c>
      <c r="C22" t="inlineStr">
        <is>
          <t>West</t>
        </is>
      </c>
      <c r="D22" t="inlineStr">
        <is>
          <t>Electronics</t>
        </is>
      </c>
      <c r="E22" t="inlineStr">
        <is>
          <t>Laptop</t>
        </is>
      </c>
      <c r="F22" t="inlineStr">
        <is>
          <t>Neha</t>
        </is>
      </c>
      <c r="G22" t="n">
        <v>4</v>
      </c>
      <c r="H22" t="n">
        <v>55000</v>
      </c>
      <c r="I22" t="n">
        <v>0.1</v>
      </c>
      <c r="J22" t="inlineStr">
        <is>
          <t>Cancelled</t>
        </is>
      </c>
      <c r="K22">
        <f>G22*H22</f>
        <v/>
      </c>
      <c r="L22">
        <f>K22*I22</f>
        <v/>
      </c>
      <c r="M22">
        <f>K22-L22</f>
        <v/>
      </c>
      <c r="N22">
        <f>M22*IF(D22="Electronics",0.15,IF(D22="Furniture",0.20,0.25))</f>
        <v/>
      </c>
      <c r="O22">
        <f>TEXT(B22,"mmm")</f>
        <v/>
      </c>
      <c r="P22">
        <f>YEAR(B22)</f>
        <v/>
      </c>
      <c r="Q22">
        <f>TEXT(B22,"dddd")</f>
        <v/>
      </c>
    </row>
    <row r="23">
      <c r="A23" t="inlineStr">
        <is>
          <t>O020</t>
        </is>
      </c>
      <c r="B23" s="3" t="n">
        <v>45921</v>
      </c>
      <c r="C23" t="inlineStr">
        <is>
          <t>North</t>
        </is>
      </c>
      <c r="D23" t="inlineStr">
        <is>
          <t>Electronics</t>
        </is>
      </c>
      <c r="E23" t="inlineStr">
        <is>
          <t>Monitor</t>
        </is>
      </c>
      <c r="F23" t="inlineStr">
        <is>
          <t>Kabir</t>
        </is>
      </c>
      <c r="G23" t="n">
        <v>5</v>
      </c>
      <c r="H23" t="n">
        <v>18000</v>
      </c>
      <c r="I23" t="n">
        <v>0</v>
      </c>
      <c r="J23" t="inlineStr">
        <is>
          <t>Completed</t>
        </is>
      </c>
      <c r="K23">
        <f>G23*H23</f>
        <v/>
      </c>
      <c r="L23">
        <f>K23*I23</f>
        <v/>
      </c>
      <c r="M23">
        <f>K23-L23</f>
        <v/>
      </c>
      <c r="N23">
        <f>M23*IF(D23="Electronics",0.15,IF(D23="Furniture",0.20,0.25))</f>
        <v/>
      </c>
      <c r="O23">
        <f>TEXT(B23,"mmm")</f>
        <v/>
      </c>
      <c r="P23">
        <f>YEAR(B23)</f>
        <v/>
      </c>
      <c r="Q23">
        <f>TEXT(B23,"dddd")</f>
        <v/>
      </c>
    </row>
    <row r="24">
      <c r="A24" t="inlineStr">
        <is>
          <t>O021</t>
        </is>
      </c>
      <c r="B24" s="3" t="n">
        <v>45952</v>
      </c>
      <c r="C24" t="inlineStr">
        <is>
          <t>South</t>
        </is>
      </c>
      <c r="D24" t="inlineStr">
        <is>
          <t>Accessories</t>
        </is>
      </c>
      <c r="E24" t="inlineStr">
        <is>
          <t>Mouse</t>
        </is>
      </c>
      <c r="F24" t="inlineStr">
        <is>
          <t>Sana</t>
        </is>
      </c>
      <c r="G24" t="n">
        <v>6</v>
      </c>
      <c r="H24" t="n">
        <v>900</v>
      </c>
      <c r="I24" t="n">
        <v>0.02</v>
      </c>
      <c r="J24" t="inlineStr">
        <is>
          <t>Completed</t>
        </is>
      </c>
      <c r="K24">
        <f>G24*H24</f>
        <v/>
      </c>
      <c r="L24">
        <f>K24*I24</f>
        <v/>
      </c>
      <c r="M24">
        <f>K24-L24</f>
        <v/>
      </c>
      <c r="N24">
        <f>M24*IF(D24="Electronics",0.15,IF(D24="Furniture",0.20,0.25))</f>
        <v/>
      </c>
      <c r="O24">
        <f>TEXT(B24,"mmm")</f>
        <v/>
      </c>
      <c r="P24">
        <f>YEAR(B24)</f>
        <v/>
      </c>
      <c r="Q24">
        <f>TEXT(B24,"dddd")</f>
        <v/>
      </c>
    </row>
    <row r="25">
      <c r="A25" t="inlineStr">
        <is>
          <t>O022</t>
        </is>
      </c>
      <c r="B25" s="3" t="n">
        <v>45984</v>
      </c>
      <c r="C25" t="inlineStr">
        <is>
          <t>East</t>
        </is>
      </c>
      <c r="D25" t="inlineStr">
        <is>
          <t>Furniture</t>
        </is>
      </c>
      <c r="E25" t="inlineStr">
        <is>
          <t>Chair</t>
        </is>
      </c>
      <c r="F25" t="inlineStr">
        <is>
          <t>Ishaan</t>
        </is>
      </c>
      <c r="G25" t="n">
        <v>7</v>
      </c>
      <c r="H25" t="n">
        <v>8500</v>
      </c>
      <c r="I25" t="n">
        <v>0.05</v>
      </c>
      <c r="J25" t="inlineStr">
        <is>
          <t>Pending</t>
        </is>
      </c>
      <c r="K25">
        <f>G25*H25</f>
        <v/>
      </c>
      <c r="L25">
        <f>K25*I25</f>
        <v/>
      </c>
      <c r="M25">
        <f>K25-L25</f>
        <v/>
      </c>
      <c r="N25">
        <f>M25*IF(D25="Electronics",0.15,IF(D25="Furniture",0.20,0.25))</f>
        <v/>
      </c>
      <c r="O25">
        <f>TEXT(B25,"mmm")</f>
        <v/>
      </c>
      <c r="P25">
        <f>YEAR(B25)</f>
        <v/>
      </c>
      <c r="Q25">
        <f>TEXT(B25,"dddd")</f>
        <v/>
      </c>
    </row>
    <row r="26">
      <c r="A26" t="inlineStr">
        <is>
          <t>O023</t>
        </is>
      </c>
      <c r="B26" s="3" t="n">
        <v>46015</v>
      </c>
      <c r="C26" t="inlineStr">
        <is>
          <t>West</t>
        </is>
      </c>
      <c r="D26" t="inlineStr">
        <is>
          <t>Furniture</t>
        </is>
      </c>
      <c r="E26" t="inlineStr">
        <is>
          <t>Desk</t>
        </is>
      </c>
      <c r="F26" t="inlineStr">
        <is>
          <t>Meera</t>
        </is>
      </c>
      <c r="G26" t="n">
        <v>8</v>
      </c>
      <c r="H26" t="n">
        <v>12000</v>
      </c>
      <c r="I26" t="n">
        <v>0.08</v>
      </c>
      <c r="J26" t="inlineStr">
        <is>
          <t>Cancelled</t>
        </is>
      </c>
      <c r="K26">
        <f>G26*H26</f>
        <v/>
      </c>
      <c r="L26">
        <f>K26*I26</f>
        <v/>
      </c>
      <c r="M26">
        <f>K26-L26</f>
        <v/>
      </c>
      <c r="N26">
        <f>M26*IF(D26="Electronics",0.15,IF(D26="Furniture",0.20,0.25))</f>
        <v/>
      </c>
      <c r="O26">
        <f>TEXT(B26,"mmm")</f>
        <v/>
      </c>
      <c r="P26">
        <f>YEAR(B26)</f>
        <v/>
      </c>
      <c r="Q26">
        <f>TEXT(B26,"dddd")</f>
        <v/>
      </c>
    </row>
    <row r="27">
      <c r="A27" t="inlineStr">
        <is>
          <t>O024</t>
        </is>
      </c>
      <c r="B27" s="3" t="n">
        <v>45682</v>
      </c>
      <c r="C27" t="inlineStr">
        <is>
          <t>North</t>
        </is>
      </c>
      <c r="D27" t="inlineStr">
        <is>
          <t>Accessories</t>
        </is>
      </c>
      <c r="E27" t="inlineStr">
        <is>
          <t>Keyboard</t>
        </is>
      </c>
      <c r="F27" t="inlineStr">
        <is>
          <t>Aarav</t>
        </is>
      </c>
      <c r="G27" t="n">
        <v>1</v>
      </c>
      <c r="H27" t="n">
        <v>1800</v>
      </c>
      <c r="I27" t="n">
        <v>0.1</v>
      </c>
      <c r="J27" t="inlineStr">
        <is>
          <t>Completed</t>
        </is>
      </c>
      <c r="K27">
        <f>G27*H27</f>
        <v/>
      </c>
      <c r="L27">
        <f>K27*I27</f>
        <v/>
      </c>
      <c r="M27">
        <f>K27-L27</f>
        <v/>
      </c>
      <c r="N27">
        <f>M27*IF(D27="Electronics",0.15,IF(D27="Furniture",0.20,0.25))</f>
        <v/>
      </c>
      <c r="O27">
        <f>TEXT(B27,"mmm")</f>
        <v/>
      </c>
      <c r="P27">
        <f>YEAR(B27)</f>
        <v/>
      </c>
      <c r="Q27">
        <f>TEXT(B27,"dddd")</f>
        <v/>
      </c>
    </row>
    <row r="28">
      <c r="A28" t="inlineStr">
        <is>
          <t>O025</t>
        </is>
      </c>
      <c r="B28" s="3" t="n">
        <v>45714</v>
      </c>
      <c r="C28" t="inlineStr">
        <is>
          <t>South</t>
        </is>
      </c>
      <c r="D28" t="inlineStr">
        <is>
          <t>Electronics</t>
        </is>
      </c>
      <c r="E28" t="inlineStr">
        <is>
          <t>Laptop</t>
        </is>
      </c>
      <c r="F28" t="inlineStr">
        <is>
          <t>Riya</t>
        </is>
      </c>
      <c r="G28" t="n">
        <v>2</v>
      </c>
      <c r="H28" t="n">
        <v>55000</v>
      </c>
      <c r="I28" t="n">
        <v>0</v>
      </c>
      <c r="J28" t="inlineStr">
        <is>
          <t>Completed</t>
        </is>
      </c>
      <c r="K28">
        <f>G28*H28</f>
        <v/>
      </c>
      <c r="L28">
        <f>K28*I28</f>
        <v/>
      </c>
      <c r="M28">
        <f>K28-L28</f>
        <v/>
      </c>
      <c r="N28">
        <f>M28*IF(D28="Electronics",0.15,IF(D28="Furniture",0.20,0.25))</f>
        <v/>
      </c>
      <c r="O28">
        <f>TEXT(B28,"mmm")</f>
        <v/>
      </c>
      <c r="P28">
        <f>YEAR(B28)</f>
        <v/>
      </c>
      <c r="Q28">
        <f>TEXT(B28,"dddd")</f>
        <v/>
      </c>
    </row>
    <row r="29">
      <c r="A29" t="inlineStr">
        <is>
          <t>O026</t>
        </is>
      </c>
      <c r="B29" s="3" t="n">
        <v>45743</v>
      </c>
      <c r="C29" t="inlineStr">
        <is>
          <t>East</t>
        </is>
      </c>
      <c r="D29" t="inlineStr">
        <is>
          <t>Electronics</t>
        </is>
      </c>
      <c r="E29" t="inlineStr">
        <is>
          <t>Monitor</t>
        </is>
      </c>
      <c r="F29" t="inlineStr">
        <is>
          <t>Rahul</t>
        </is>
      </c>
      <c r="G29" t="n">
        <v>3</v>
      </c>
      <c r="H29" t="n">
        <v>18000</v>
      </c>
      <c r="I29" t="n">
        <v>0.02</v>
      </c>
      <c r="J29" t="inlineStr">
        <is>
          <t>Pending</t>
        </is>
      </c>
      <c r="K29">
        <f>G29*H29</f>
        <v/>
      </c>
      <c r="L29">
        <f>K29*I29</f>
        <v/>
      </c>
      <c r="M29">
        <f>K29-L29</f>
        <v/>
      </c>
      <c r="N29">
        <f>M29*IF(D29="Electronics",0.15,IF(D29="Furniture",0.20,0.25))</f>
        <v/>
      </c>
      <c r="O29">
        <f>TEXT(B29,"mmm")</f>
        <v/>
      </c>
      <c r="P29">
        <f>YEAR(B29)</f>
        <v/>
      </c>
      <c r="Q29">
        <f>TEXT(B29,"dddd")</f>
        <v/>
      </c>
    </row>
    <row r="30">
      <c r="A30" t="inlineStr">
        <is>
          <t>O027</t>
        </is>
      </c>
      <c r="B30" s="3" t="n">
        <v>45748</v>
      </c>
      <c r="C30" t="inlineStr">
        <is>
          <t>West</t>
        </is>
      </c>
      <c r="D30" t="inlineStr">
        <is>
          <t>Accessories</t>
        </is>
      </c>
      <c r="E30" t="inlineStr">
        <is>
          <t>Mouse</t>
        </is>
      </c>
      <c r="F30" t="inlineStr">
        <is>
          <t>Neha</t>
        </is>
      </c>
      <c r="G30" t="n">
        <v>4</v>
      </c>
      <c r="H30" t="n">
        <v>900</v>
      </c>
      <c r="I30" t="n">
        <v>0.05</v>
      </c>
      <c r="J30" t="inlineStr">
        <is>
          <t>Cancelled</t>
        </is>
      </c>
      <c r="K30">
        <f>G30*H30</f>
        <v/>
      </c>
      <c r="L30">
        <f>K30*I30</f>
        <v/>
      </c>
      <c r="M30">
        <f>K30-L30</f>
        <v/>
      </c>
      <c r="N30">
        <f>M30*IF(D30="Electronics",0.15,IF(D30="Furniture",0.20,0.25))</f>
        <v/>
      </c>
      <c r="O30">
        <f>TEXT(B30,"mmm")</f>
        <v/>
      </c>
      <c r="P30">
        <f>YEAR(B30)</f>
        <v/>
      </c>
      <c r="Q30">
        <f>TEXT(B30,"dddd")</f>
        <v/>
      </c>
    </row>
    <row r="31">
      <c r="A31" t="inlineStr">
        <is>
          <t>O028</t>
        </is>
      </c>
      <c r="B31" s="3" t="n">
        <v>45779</v>
      </c>
      <c r="C31" t="inlineStr">
        <is>
          <t>North</t>
        </is>
      </c>
      <c r="D31" t="inlineStr">
        <is>
          <t>Furniture</t>
        </is>
      </c>
      <c r="E31" t="inlineStr">
        <is>
          <t>Chair</t>
        </is>
      </c>
      <c r="F31" t="inlineStr">
        <is>
          <t>Kabir</t>
        </is>
      </c>
      <c r="G31" t="n">
        <v>5</v>
      </c>
      <c r="H31" t="n">
        <v>8500</v>
      </c>
      <c r="I31" t="n">
        <v>0.08</v>
      </c>
      <c r="J31" t="inlineStr">
        <is>
          <t>Completed</t>
        </is>
      </c>
      <c r="K31">
        <f>G31*H31</f>
        <v/>
      </c>
      <c r="L31">
        <f>K31*I31</f>
        <v/>
      </c>
      <c r="M31">
        <f>K31-L31</f>
        <v/>
      </c>
      <c r="N31">
        <f>M31*IF(D31="Electronics",0.15,IF(D31="Furniture",0.20,0.25))</f>
        <v/>
      </c>
      <c r="O31">
        <f>TEXT(B31,"mmm")</f>
        <v/>
      </c>
      <c r="P31">
        <f>YEAR(B31)</f>
        <v/>
      </c>
      <c r="Q31">
        <f>TEXT(B31,"dddd")</f>
        <v/>
      </c>
    </row>
    <row r="32">
      <c r="A32" t="inlineStr">
        <is>
          <t>O029</t>
        </is>
      </c>
      <c r="B32" s="3" t="n">
        <v>45811</v>
      </c>
      <c r="C32" t="inlineStr">
        <is>
          <t>South</t>
        </is>
      </c>
      <c r="D32" t="inlineStr">
        <is>
          <t>Furniture</t>
        </is>
      </c>
      <c r="E32" t="inlineStr">
        <is>
          <t>Desk</t>
        </is>
      </c>
      <c r="F32" t="inlineStr">
        <is>
          <t>Sana</t>
        </is>
      </c>
      <c r="G32" t="n">
        <v>6</v>
      </c>
      <c r="H32" t="n">
        <v>12000</v>
      </c>
      <c r="I32" t="n">
        <v>0.1</v>
      </c>
      <c r="J32" t="inlineStr">
        <is>
          <t>Completed</t>
        </is>
      </c>
      <c r="K32">
        <f>G32*H32</f>
        <v/>
      </c>
      <c r="L32">
        <f>K32*I32</f>
        <v/>
      </c>
      <c r="M32">
        <f>K32-L32</f>
        <v/>
      </c>
      <c r="N32">
        <f>M32*IF(D32="Electronics",0.15,IF(D32="Furniture",0.20,0.25))</f>
        <v/>
      </c>
      <c r="O32">
        <f>TEXT(B32,"mmm")</f>
        <v/>
      </c>
      <c r="P32">
        <f>YEAR(B32)</f>
        <v/>
      </c>
      <c r="Q32">
        <f>TEXT(B32,"dddd")</f>
        <v/>
      </c>
    </row>
    <row r="33">
      <c r="A33" t="inlineStr">
        <is>
          <t>O030</t>
        </is>
      </c>
      <c r="B33" s="3" t="n">
        <v>45842</v>
      </c>
      <c r="C33" t="inlineStr">
        <is>
          <t>East</t>
        </is>
      </c>
      <c r="D33" t="inlineStr">
        <is>
          <t>Accessories</t>
        </is>
      </c>
      <c r="E33" t="inlineStr">
        <is>
          <t>Keyboard</t>
        </is>
      </c>
      <c r="F33" t="inlineStr">
        <is>
          <t>Ishaan</t>
        </is>
      </c>
      <c r="G33" t="n">
        <v>7</v>
      </c>
      <c r="H33" t="n">
        <v>1800</v>
      </c>
      <c r="I33" t="n">
        <v>0</v>
      </c>
      <c r="J33" t="inlineStr">
        <is>
          <t>Pending</t>
        </is>
      </c>
      <c r="K33">
        <f>G33*H33</f>
        <v/>
      </c>
      <c r="L33">
        <f>K33*I33</f>
        <v/>
      </c>
      <c r="M33">
        <f>K33-L33</f>
        <v/>
      </c>
      <c r="N33">
        <f>M33*IF(D33="Electronics",0.15,IF(D33="Furniture",0.20,0.25))</f>
        <v/>
      </c>
      <c r="O33">
        <f>TEXT(B33,"mmm")</f>
        <v/>
      </c>
      <c r="P33">
        <f>YEAR(B33)</f>
        <v/>
      </c>
      <c r="Q33">
        <f>TEXT(B33,"dddd")</f>
        <v/>
      </c>
    </row>
    <row r="34">
      <c r="A34" t="inlineStr">
        <is>
          <t>O031</t>
        </is>
      </c>
      <c r="B34" s="3" t="n">
        <v>45874</v>
      </c>
      <c r="C34" t="inlineStr">
        <is>
          <t>West</t>
        </is>
      </c>
      <c r="D34" t="inlineStr">
        <is>
          <t>Electronics</t>
        </is>
      </c>
      <c r="E34" t="inlineStr">
        <is>
          <t>Laptop</t>
        </is>
      </c>
      <c r="F34" t="inlineStr">
        <is>
          <t>Meera</t>
        </is>
      </c>
      <c r="G34" t="n">
        <v>8</v>
      </c>
      <c r="H34" t="n">
        <v>55000</v>
      </c>
      <c r="I34" t="n">
        <v>0.02</v>
      </c>
      <c r="J34" t="inlineStr">
        <is>
          <t>Cancelled</t>
        </is>
      </c>
      <c r="K34">
        <f>G34*H34</f>
        <v/>
      </c>
      <c r="L34">
        <f>K34*I34</f>
        <v/>
      </c>
      <c r="M34">
        <f>K34-L34</f>
        <v/>
      </c>
      <c r="N34">
        <f>M34*IF(D34="Electronics",0.15,IF(D34="Furniture",0.20,0.25))</f>
        <v/>
      </c>
      <c r="O34">
        <f>TEXT(B34,"mmm")</f>
        <v/>
      </c>
      <c r="P34">
        <f>YEAR(B34)</f>
        <v/>
      </c>
      <c r="Q34">
        <f>TEXT(B34,"dddd")</f>
        <v/>
      </c>
    </row>
    <row r="35">
      <c r="A35" t="inlineStr">
        <is>
          <t>O032</t>
        </is>
      </c>
      <c r="B35" s="3" t="n">
        <v>45906</v>
      </c>
      <c r="C35" t="inlineStr">
        <is>
          <t>North</t>
        </is>
      </c>
      <c r="D35" t="inlineStr">
        <is>
          <t>Electronics</t>
        </is>
      </c>
      <c r="E35" t="inlineStr">
        <is>
          <t>Monitor</t>
        </is>
      </c>
      <c r="F35" t="inlineStr">
        <is>
          <t>Aarav</t>
        </is>
      </c>
      <c r="G35" t="n">
        <v>1</v>
      </c>
      <c r="H35" t="n">
        <v>18000</v>
      </c>
      <c r="I35" t="n">
        <v>0.05</v>
      </c>
      <c r="J35" t="inlineStr">
        <is>
          <t>Completed</t>
        </is>
      </c>
      <c r="K35">
        <f>G35*H35</f>
        <v/>
      </c>
      <c r="L35">
        <f>K35*I35</f>
        <v/>
      </c>
      <c r="M35">
        <f>K35-L35</f>
        <v/>
      </c>
      <c r="N35">
        <f>M35*IF(D35="Electronics",0.15,IF(D35="Furniture",0.20,0.25))</f>
        <v/>
      </c>
      <c r="O35">
        <f>TEXT(B35,"mmm")</f>
        <v/>
      </c>
      <c r="P35">
        <f>YEAR(B35)</f>
        <v/>
      </c>
      <c r="Q35">
        <f>TEXT(B35,"dddd")</f>
        <v/>
      </c>
    </row>
    <row r="36">
      <c r="A36" t="inlineStr">
        <is>
          <t>O033</t>
        </is>
      </c>
      <c r="B36" s="3" t="n">
        <v>45937</v>
      </c>
      <c r="C36" t="inlineStr">
        <is>
          <t>South</t>
        </is>
      </c>
      <c r="D36" t="inlineStr">
        <is>
          <t>Accessories</t>
        </is>
      </c>
      <c r="E36" t="inlineStr">
        <is>
          <t>Mouse</t>
        </is>
      </c>
      <c r="F36" t="inlineStr">
        <is>
          <t>Riya</t>
        </is>
      </c>
      <c r="G36" t="n">
        <v>2</v>
      </c>
      <c r="H36" t="n">
        <v>900</v>
      </c>
      <c r="I36" t="n">
        <v>0.08</v>
      </c>
      <c r="J36" t="inlineStr">
        <is>
          <t>Completed</t>
        </is>
      </c>
      <c r="K36">
        <f>G36*H36</f>
        <v/>
      </c>
      <c r="L36">
        <f>K36*I36</f>
        <v/>
      </c>
      <c r="M36">
        <f>K36-L36</f>
        <v/>
      </c>
      <c r="N36">
        <f>M36*IF(D36="Electronics",0.15,IF(D36="Furniture",0.20,0.25))</f>
        <v/>
      </c>
      <c r="O36">
        <f>TEXT(B36,"mmm")</f>
        <v/>
      </c>
      <c r="P36">
        <f>YEAR(B36)</f>
        <v/>
      </c>
      <c r="Q36">
        <f>TEXT(B36,"dddd")</f>
        <v/>
      </c>
    </row>
    <row r="37">
      <c r="A37" t="inlineStr">
        <is>
          <t>O034</t>
        </is>
      </c>
      <c r="B37" s="3" t="n">
        <v>45969</v>
      </c>
      <c r="C37" t="inlineStr">
        <is>
          <t>East</t>
        </is>
      </c>
      <c r="D37" t="inlineStr">
        <is>
          <t>Furniture</t>
        </is>
      </c>
      <c r="E37" t="inlineStr">
        <is>
          <t>Chair</t>
        </is>
      </c>
      <c r="F37" t="inlineStr">
        <is>
          <t>Rahul</t>
        </is>
      </c>
      <c r="G37" t="n">
        <v>3</v>
      </c>
      <c r="H37" t="n">
        <v>8500</v>
      </c>
      <c r="I37" t="n">
        <v>0.1</v>
      </c>
      <c r="J37" t="inlineStr">
        <is>
          <t>Pending</t>
        </is>
      </c>
      <c r="K37">
        <f>G37*H37</f>
        <v/>
      </c>
      <c r="L37">
        <f>K37*I37</f>
        <v/>
      </c>
      <c r="M37">
        <f>K37-L37</f>
        <v/>
      </c>
      <c r="N37">
        <f>M37*IF(D37="Electronics",0.15,IF(D37="Furniture",0.20,0.25))</f>
        <v/>
      </c>
      <c r="O37">
        <f>TEXT(B37,"mmm")</f>
        <v/>
      </c>
      <c r="P37">
        <f>YEAR(B37)</f>
        <v/>
      </c>
      <c r="Q37">
        <f>TEXT(B37,"dddd")</f>
        <v/>
      </c>
    </row>
    <row r="38">
      <c r="A38" t="inlineStr">
        <is>
          <t>O035</t>
        </is>
      </c>
      <c r="B38" s="3" t="n">
        <v>46000</v>
      </c>
      <c r="C38" t="inlineStr">
        <is>
          <t>West</t>
        </is>
      </c>
      <c r="D38" t="inlineStr">
        <is>
          <t>Furniture</t>
        </is>
      </c>
      <c r="E38" t="inlineStr">
        <is>
          <t>Desk</t>
        </is>
      </c>
      <c r="F38" t="inlineStr">
        <is>
          <t>Neha</t>
        </is>
      </c>
      <c r="G38" t="n">
        <v>4</v>
      </c>
      <c r="H38" t="n">
        <v>12000</v>
      </c>
      <c r="I38" t="n">
        <v>0</v>
      </c>
      <c r="J38" t="inlineStr">
        <is>
          <t>Cancelled</t>
        </is>
      </c>
      <c r="K38">
        <f>G38*H38</f>
        <v/>
      </c>
      <c r="L38">
        <f>K38*I38</f>
        <v/>
      </c>
      <c r="M38">
        <f>K38-L38</f>
        <v/>
      </c>
      <c r="N38">
        <f>M38*IF(D38="Electronics",0.15,IF(D38="Furniture",0.20,0.25))</f>
        <v/>
      </c>
      <c r="O38">
        <f>TEXT(B38,"mmm")</f>
        <v/>
      </c>
      <c r="P38">
        <f>YEAR(B38)</f>
        <v/>
      </c>
      <c r="Q38">
        <f>TEXT(B38,"dddd")</f>
        <v/>
      </c>
    </row>
    <row r="39">
      <c r="A39" t="inlineStr">
        <is>
          <t>O036</t>
        </is>
      </c>
      <c r="B39" s="3" t="n">
        <v>45667</v>
      </c>
      <c r="C39" t="inlineStr">
        <is>
          <t>North</t>
        </is>
      </c>
      <c r="D39" t="inlineStr">
        <is>
          <t>Accessories</t>
        </is>
      </c>
      <c r="E39" t="inlineStr">
        <is>
          <t>Keyboard</t>
        </is>
      </c>
      <c r="F39" t="inlineStr">
        <is>
          <t>Kabir</t>
        </is>
      </c>
      <c r="G39" t="n">
        <v>5</v>
      </c>
      <c r="H39" t="n">
        <v>1800</v>
      </c>
      <c r="I39" t="n">
        <v>0.02</v>
      </c>
      <c r="J39" t="inlineStr">
        <is>
          <t>Completed</t>
        </is>
      </c>
      <c r="K39">
        <f>G39*H39</f>
        <v/>
      </c>
      <c r="L39">
        <f>K39*I39</f>
        <v/>
      </c>
      <c r="M39">
        <f>K39-L39</f>
        <v/>
      </c>
      <c r="N39">
        <f>M39*IF(D39="Electronics",0.15,IF(D39="Furniture",0.20,0.25))</f>
        <v/>
      </c>
      <c r="O39">
        <f>TEXT(B39,"mmm")</f>
        <v/>
      </c>
      <c r="P39">
        <f>YEAR(B39)</f>
        <v/>
      </c>
      <c r="Q39">
        <f>TEXT(B39,"dddd")</f>
        <v/>
      </c>
    </row>
    <row r="40">
      <c r="A40" t="inlineStr">
        <is>
          <t>O037</t>
        </is>
      </c>
      <c r="B40" s="3" t="n">
        <v>45699</v>
      </c>
      <c r="C40" t="inlineStr">
        <is>
          <t>South</t>
        </is>
      </c>
      <c r="D40" t="inlineStr">
        <is>
          <t>Electronics</t>
        </is>
      </c>
      <c r="E40" t="inlineStr">
        <is>
          <t>Laptop</t>
        </is>
      </c>
      <c r="F40" t="inlineStr">
        <is>
          <t>Sana</t>
        </is>
      </c>
      <c r="G40" t="n">
        <v>6</v>
      </c>
      <c r="H40" t="n">
        <v>55000</v>
      </c>
      <c r="I40" t="n">
        <v>0.05</v>
      </c>
      <c r="J40" t="inlineStr">
        <is>
          <t>Completed</t>
        </is>
      </c>
      <c r="K40">
        <f>G40*H40</f>
        <v/>
      </c>
      <c r="L40">
        <f>K40*I40</f>
        <v/>
      </c>
      <c r="M40">
        <f>K40-L40</f>
        <v/>
      </c>
      <c r="N40">
        <f>M40*IF(D40="Electronics",0.15,IF(D40="Furniture",0.20,0.25))</f>
        <v/>
      </c>
      <c r="O40">
        <f>TEXT(B40,"mmm")</f>
        <v/>
      </c>
      <c r="P40">
        <f>YEAR(B40)</f>
        <v/>
      </c>
      <c r="Q40">
        <f>TEXT(B40,"dddd")</f>
        <v/>
      </c>
    </row>
    <row r="41">
      <c r="A41" t="inlineStr">
        <is>
          <t>O038</t>
        </is>
      </c>
      <c r="B41" s="3" t="n">
        <v>45728</v>
      </c>
      <c r="C41" t="inlineStr">
        <is>
          <t>East</t>
        </is>
      </c>
      <c r="D41" t="inlineStr">
        <is>
          <t>Electronics</t>
        </is>
      </c>
      <c r="E41" t="inlineStr">
        <is>
          <t>Monitor</t>
        </is>
      </c>
      <c r="F41" t="inlineStr">
        <is>
          <t>Ishaan</t>
        </is>
      </c>
      <c r="G41" t="n">
        <v>7</v>
      </c>
      <c r="H41" t="n">
        <v>18000</v>
      </c>
      <c r="I41" t="n">
        <v>0.08</v>
      </c>
      <c r="J41" t="inlineStr">
        <is>
          <t>Pending</t>
        </is>
      </c>
      <c r="K41">
        <f>G41*H41</f>
        <v/>
      </c>
      <c r="L41">
        <f>K41*I41</f>
        <v/>
      </c>
      <c r="M41">
        <f>K41-L41</f>
        <v/>
      </c>
      <c r="N41">
        <f>M41*IF(D41="Electronics",0.15,IF(D41="Furniture",0.20,0.25))</f>
        <v/>
      </c>
      <c r="O41">
        <f>TEXT(B41,"mmm")</f>
        <v/>
      </c>
      <c r="P41">
        <f>YEAR(B41)</f>
        <v/>
      </c>
      <c r="Q41">
        <f>TEXT(B41,"dddd")</f>
        <v/>
      </c>
    </row>
    <row r="42">
      <c r="A42" t="inlineStr">
        <is>
          <t>O039</t>
        </is>
      </c>
      <c r="B42" s="3" t="n">
        <v>45760</v>
      </c>
      <c r="C42" t="inlineStr">
        <is>
          <t>West</t>
        </is>
      </c>
      <c r="D42" t="inlineStr">
        <is>
          <t>Accessories</t>
        </is>
      </c>
      <c r="E42" t="inlineStr">
        <is>
          <t>Mouse</t>
        </is>
      </c>
      <c r="F42" t="inlineStr">
        <is>
          <t>Meera</t>
        </is>
      </c>
      <c r="G42" t="n">
        <v>8</v>
      </c>
      <c r="H42" t="n">
        <v>900</v>
      </c>
      <c r="I42" t="n">
        <v>0.1</v>
      </c>
      <c r="J42" t="inlineStr">
        <is>
          <t>Cancelled</t>
        </is>
      </c>
      <c r="K42">
        <f>G42*H42</f>
        <v/>
      </c>
      <c r="L42">
        <f>K42*I42</f>
        <v/>
      </c>
      <c r="M42">
        <f>K42-L42</f>
        <v/>
      </c>
      <c r="N42">
        <f>M42*IF(D42="Electronics",0.15,IF(D42="Furniture",0.20,0.25))</f>
        <v/>
      </c>
      <c r="O42">
        <f>TEXT(B42,"mmm")</f>
        <v/>
      </c>
      <c r="P42">
        <f>YEAR(B42)</f>
        <v/>
      </c>
      <c r="Q42">
        <f>TEXT(B42,"dddd")</f>
        <v/>
      </c>
    </row>
    <row r="43">
      <c r="A43" t="inlineStr">
        <is>
          <t>O040</t>
        </is>
      </c>
      <c r="B43" s="3" t="n">
        <v>45791</v>
      </c>
      <c r="C43" t="inlineStr">
        <is>
          <t>North</t>
        </is>
      </c>
      <c r="D43" t="inlineStr">
        <is>
          <t>Furniture</t>
        </is>
      </c>
      <c r="E43" t="inlineStr">
        <is>
          <t>Chair</t>
        </is>
      </c>
      <c r="F43" t="inlineStr">
        <is>
          <t>Aarav</t>
        </is>
      </c>
      <c r="G43" t="n">
        <v>1</v>
      </c>
      <c r="H43" t="n">
        <v>8500</v>
      </c>
      <c r="I43" t="n">
        <v>0</v>
      </c>
      <c r="J43" t="inlineStr">
        <is>
          <t>Completed</t>
        </is>
      </c>
      <c r="K43">
        <f>G43*H43</f>
        <v/>
      </c>
      <c r="L43">
        <f>K43*I43</f>
        <v/>
      </c>
      <c r="M43">
        <f>K43-L43</f>
        <v/>
      </c>
      <c r="N43">
        <f>M43*IF(D43="Electronics",0.15,IF(D43="Furniture",0.20,0.25))</f>
        <v/>
      </c>
      <c r="O43">
        <f>TEXT(B43,"mmm")</f>
        <v/>
      </c>
      <c r="P43">
        <f>YEAR(B43)</f>
        <v/>
      </c>
      <c r="Q43">
        <f>TEXT(B43,"dddd")</f>
        <v/>
      </c>
    </row>
    <row r="44">
      <c r="A44" t="inlineStr">
        <is>
          <t>O041</t>
        </is>
      </c>
      <c r="B44" s="3" t="n">
        <v>45823</v>
      </c>
      <c r="C44" t="inlineStr">
        <is>
          <t>South</t>
        </is>
      </c>
      <c r="D44" t="inlineStr">
        <is>
          <t>Furniture</t>
        </is>
      </c>
      <c r="E44" t="inlineStr">
        <is>
          <t>Desk</t>
        </is>
      </c>
      <c r="F44" t="inlineStr">
        <is>
          <t>Riya</t>
        </is>
      </c>
      <c r="G44" t="n">
        <v>2</v>
      </c>
      <c r="H44" t="n">
        <v>12000</v>
      </c>
      <c r="I44" t="n">
        <v>0.02</v>
      </c>
      <c r="J44" t="inlineStr">
        <is>
          <t>Completed</t>
        </is>
      </c>
      <c r="K44">
        <f>G44*H44</f>
        <v/>
      </c>
      <c r="L44">
        <f>K44*I44</f>
        <v/>
      </c>
      <c r="M44">
        <f>K44-L44</f>
        <v/>
      </c>
      <c r="N44">
        <f>M44*IF(D44="Electronics",0.15,IF(D44="Furniture",0.20,0.25))</f>
        <v/>
      </c>
      <c r="O44">
        <f>TEXT(B44,"mmm")</f>
        <v/>
      </c>
      <c r="P44">
        <f>YEAR(B44)</f>
        <v/>
      </c>
      <c r="Q44">
        <f>TEXT(B44,"dddd")</f>
        <v/>
      </c>
    </row>
    <row r="45">
      <c r="A45" t="inlineStr">
        <is>
          <t>O042</t>
        </is>
      </c>
      <c r="B45" s="3" t="n">
        <v>45854</v>
      </c>
      <c r="C45" t="inlineStr">
        <is>
          <t>East</t>
        </is>
      </c>
      <c r="D45" t="inlineStr">
        <is>
          <t>Accessories</t>
        </is>
      </c>
      <c r="E45" t="inlineStr">
        <is>
          <t>Keyboard</t>
        </is>
      </c>
      <c r="F45" t="inlineStr">
        <is>
          <t>Rahul</t>
        </is>
      </c>
      <c r="G45" t="n">
        <v>3</v>
      </c>
      <c r="H45" t="n">
        <v>1800</v>
      </c>
      <c r="I45" t="n">
        <v>0.05</v>
      </c>
      <c r="J45" t="inlineStr">
        <is>
          <t>Pending</t>
        </is>
      </c>
      <c r="K45">
        <f>G45*H45</f>
        <v/>
      </c>
      <c r="L45">
        <f>K45*I45</f>
        <v/>
      </c>
      <c r="M45">
        <f>K45-L45</f>
        <v/>
      </c>
      <c r="N45">
        <f>M45*IF(D45="Electronics",0.15,IF(D45="Furniture",0.20,0.25))</f>
        <v/>
      </c>
      <c r="O45">
        <f>TEXT(B45,"mmm")</f>
        <v/>
      </c>
      <c r="P45">
        <f>YEAR(B45)</f>
        <v/>
      </c>
      <c r="Q45">
        <f>TEXT(B45,"dddd")</f>
        <v/>
      </c>
    </row>
    <row r="46">
      <c r="A46" t="inlineStr">
        <is>
          <t>O043</t>
        </is>
      </c>
      <c r="B46" s="3" t="n">
        <v>45886</v>
      </c>
      <c r="C46" t="inlineStr">
        <is>
          <t>West</t>
        </is>
      </c>
      <c r="D46" t="inlineStr">
        <is>
          <t>Electronics</t>
        </is>
      </c>
      <c r="E46" t="inlineStr">
        <is>
          <t>Laptop</t>
        </is>
      </c>
      <c r="F46" t="inlineStr">
        <is>
          <t>Neha</t>
        </is>
      </c>
      <c r="G46" t="n">
        <v>4</v>
      </c>
      <c r="H46" t="n">
        <v>55000</v>
      </c>
      <c r="I46" t="n">
        <v>0.08</v>
      </c>
      <c r="J46" t="inlineStr">
        <is>
          <t>Cancelled</t>
        </is>
      </c>
      <c r="K46">
        <f>G46*H46</f>
        <v/>
      </c>
      <c r="L46">
        <f>K46*I46</f>
        <v/>
      </c>
      <c r="M46">
        <f>K46-L46</f>
        <v/>
      </c>
      <c r="N46">
        <f>M46*IF(D46="Electronics",0.15,IF(D46="Furniture",0.20,0.25))</f>
        <v/>
      </c>
      <c r="O46">
        <f>TEXT(B46,"mmm")</f>
        <v/>
      </c>
      <c r="P46">
        <f>YEAR(B46)</f>
        <v/>
      </c>
      <c r="Q46">
        <f>TEXT(B46,"dddd")</f>
        <v/>
      </c>
    </row>
    <row r="47">
      <c r="A47" t="inlineStr">
        <is>
          <t>O044</t>
        </is>
      </c>
      <c r="B47" s="3" t="n">
        <v>45918</v>
      </c>
      <c r="C47" t="inlineStr">
        <is>
          <t>North</t>
        </is>
      </c>
      <c r="D47" t="inlineStr">
        <is>
          <t>Electronics</t>
        </is>
      </c>
      <c r="E47" t="inlineStr">
        <is>
          <t>Monitor</t>
        </is>
      </c>
      <c r="F47" t="inlineStr">
        <is>
          <t>Kabir</t>
        </is>
      </c>
      <c r="G47" t="n">
        <v>5</v>
      </c>
      <c r="H47" t="n">
        <v>18000</v>
      </c>
      <c r="I47" t="n">
        <v>0.1</v>
      </c>
      <c r="J47" t="inlineStr">
        <is>
          <t>Completed</t>
        </is>
      </c>
      <c r="K47">
        <f>G47*H47</f>
        <v/>
      </c>
      <c r="L47">
        <f>K47*I47</f>
        <v/>
      </c>
      <c r="M47">
        <f>K47-L47</f>
        <v/>
      </c>
      <c r="N47">
        <f>M47*IF(D47="Electronics",0.15,IF(D47="Furniture",0.20,0.25))</f>
        <v/>
      </c>
      <c r="O47">
        <f>TEXT(B47,"mmm")</f>
        <v/>
      </c>
      <c r="P47">
        <f>YEAR(B47)</f>
        <v/>
      </c>
      <c r="Q47">
        <f>TEXT(B47,"dddd")</f>
        <v/>
      </c>
    </row>
    <row r="48">
      <c r="A48" t="inlineStr">
        <is>
          <t>O045</t>
        </is>
      </c>
      <c r="B48" s="3" t="n">
        <v>45949</v>
      </c>
      <c r="C48" t="inlineStr">
        <is>
          <t>South</t>
        </is>
      </c>
      <c r="D48" t="inlineStr">
        <is>
          <t>Accessories</t>
        </is>
      </c>
      <c r="E48" t="inlineStr">
        <is>
          <t>Mouse</t>
        </is>
      </c>
      <c r="F48" t="inlineStr">
        <is>
          <t>Sana</t>
        </is>
      </c>
      <c r="G48" t="n">
        <v>6</v>
      </c>
      <c r="H48" t="n">
        <v>900</v>
      </c>
      <c r="I48" t="n">
        <v>0</v>
      </c>
      <c r="J48" t="inlineStr">
        <is>
          <t>Completed</t>
        </is>
      </c>
      <c r="K48">
        <f>G48*H48</f>
        <v/>
      </c>
      <c r="L48">
        <f>K48*I48</f>
        <v/>
      </c>
      <c r="M48">
        <f>K48-L48</f>
        <v/>
      </c>
      <c r="N48">
        <f>M48*IF(D48="Electronics",0.15,IF(D48="Furniture",0.20,0.25))</f>
        <v/>
      </c>
      <c r="O48">
        <f>TEXT(B48,"mmm")</f>
        <v/>
      </c>
      <c r="P48">
        <f>YEAR(B48)</f>
        <v/>
      </c>
      <c r="Q48">
        <f>TEXT(B48,"dddd")</f>
        <v/>
      </c>
    </row>
    <row r="49">
      <c r="A49" t="inlineStr">
        <is>
          <t>O046</t>
        </is>
      </c>
      <c r="B49" s="3" t="n">
        <v>45981</v>
      </c>
      <c r="C49" t="inlineStr">
        <is>
          <t>East</t>
        </is>
      </c>
      <c r="D49" t="inlineStr">
        <is>
          <t>Furniture</t>
        </is>
      </c>
      <c r="E49" t="inlineStr">
        <is>
          <t>Chair</t>
        </is>
      </c>
      <c r="F49" t="inlineStr">
        <is>
          <t>Ishaan</t>
        </is>
      </c>
      <c r="G49" t="n">
        <v>7</v>
      </c>
      <c r="H49" t="n">
        <v>8500</v>
      </c>
      <c r="I49" t="n">
        <v>0.02</v>
      </c>
      <c r="J49" t="inlineStr">
        <is>
          <t>Pending</t>
        </is>
      </c>
      <c r="K49">
        <f>G49*H49</f>
        <v/>
      </c>
      <c r="L49">
        <f>K49*I49</f>
        <v/>
      </c>
      <c r="M49">
        <f>K49-L49</f>
        <v/>
      </c>
      <c r="N49">
        <f>M49*IF(D49="Electronics",0.15,IF(D49="Furniture",0.20,0.25))</f>
        <v/>
      </c>
      <c r="O49">
        <f>TEXT(B49,"mmm")</f>
        <v/>
      </c>
      <c r="P49">
        <f>YEAR(B49)</f>
        <v/>
      </c>
      <c r="Q49">
        <f>TEXT(B49,"dddd")</f>
        <v/>
      </c>
    </row>
    <row r="50">
      <c r="A50" t="inlineStr">
        <is>
          <t>O047</t>
        </is>
      </c>
      <c r="B50" s="3" t="n">
        <v>46012</v>
      </c>
      <c r="C50" t="inlineStr">
        <is>
          <t>West</t>
        </is>
      </c>
      <c r="D50" t="inlineStr">
        <is>
          <t>Furniture</t>
        </is>
      </c>
      <c r="E50" t="inlineStr">
        <is>
          <t>Desk</t>
        </is>
      </c>
      <c r="F50" t="inlineStr">
        <is>
          <t>Meera</t>
        </is>
      </c>
      <c r="G50" t="n">
        <v>8</v>
      </c>
      <c r="H50" t="n">
        <v>12000</v>
      </c>
      <c r="I50" t="n">
        <v>0.05</v>
      </c>
      <c r="J50" t="inlineStr">
        <is>
          <t>Cancelled</t>
        </is>
      </c>
      <c r="K50">
        <f>G50*H50</f>
        <v/>
      </c>
      <c r="L50">
        <f>K50*I50</f>
        <v/>
      </c>
      <c r="M50">
        <f>K50-L50</f>
        <v/>
      </c>
      <c r="N50">
        <f>M50*IF(D50="Electronics",0.15,IF(D50="Furniture",0.20,0.25))</f>
        <v/>
      </c>
      <c r="O50">
        <f>TEXT(B50,"mmm")</f>
        <v/>
      </c>
      <c r="P50">
        <f>YEAR(B50)</f>
        <v/>
      </c>
      <c r="Q50">
        <f>TEXT(B50,"dddd")</f>
        <v/>
      </c>
    </row>
    <row r="51">
      <c r="A51" t="inlineStr">
        <is>
          <t>O048</t>
        </is>
      </c>
      <c r="B51" s="3" t="n">
        <v>45679</v>
      </c>
      <c r="C51" t="inlineStr">
        <is>
          <t>North</t>
        </is>
      </c>
      <c r="D51" t="inlineStr">
        <is>
          <t>Accessories</t>
        </is>
      </c>
      <c r="E51" t="inlineStr">
        <is>
          <t>Keyboard</t>
        </is>
      </c>
      <c r="F51" t="inlineStr">
        <is>
          <t>Aarav</t>
        </is>
      </c>
      <c r="G51" t="n">
        <v>1</v>
      </c>
      <c r="H51" t="n">
        <v>1800</v>
      </c>
      <c r="I51" t="n">
        <v>0.08</v>
      </c>
      <c r="J51" t="inlineStr">
        <is>
          <t>Completed</t>
        </is>
      </c>
      <c r="K51">
        <f>G51*H51</f>
        <v/>
      </c>
      <c r="L51">
        <f>K51*I51</f>
        <v/>
      </c>
      <c r="M51">
        <f>K51-L51</f>
        <v/>
      </c>
      <c r="N51">
        <f>M51*IF(D51="Electronics",0.15,IF(D51="Furniture",0.20,0.25))</f>
        <v/>
      </c>
      <c r="O51">
        <f>TEXT(B51,"mmm")</f>
        <v/>
      </c>
      <c r="P51">
        <f>YEAR(B51)</f>
        <v/>
      </c>
      <c r="Q51">
        <f>TEXT(B51,"dddd")</f>
        <v/>
      </c>
    </row>
    <row r="52">
      <c r="A52" t="inlineStr">
        <is>
          <t>O049</t>
        </is>
      </c>
      <c r="B52" s="3" t="n">
        <v>45711</v>
      </c>
      <c r="C52" t="inlineStr">
        <is>
          <t>South</t>
        </is>
      </c>
      <c r="D52" t="inlineStr">
        <is>
          <t>Electronics</t>
        </is>
      </c>
      <c r="E52" t="inlineStr">
        <is>
          <t>Laptop</t>
        </is>
      </c>
      <c r="F52" t="inlineStr">
        <is>
          <t>Riya</t>
        </is>
      </c>
      <c r="G52" t="n">
        <v>2</v>
      </c>
      <c r="H52" t="n">
        <v>55000</v>
      </c>
      <c r="I52" t="n">
        <v>0.1</v>
      </c>
      <c r="J52" t="inlineStr">
        <is>
          <t>Completed</t>
        </is>
      </c>
      <c r="K52">
        <f>G52*H52</f>
        <v/>
      </c>
      <c r="L52">
        <f>K52*I52</f>
        <v/>
      </c>
      <c r="M52">
        <f>K52-L52</f>
        <v/>
      </c>
      <c r="N52">
        <f>M52*IF(D52="Electronics",0.15,IF(D52="Furniture",0.20,0.25))</f>
        <v/>
      </c>
      <c r="O52">
        <f>TEXT(B52,"mmm")</f>
        <v/>
      </c>
      <c r="P52">
        <f>YEAR(B52)</f>
        <v/>
      </c>
      <c r="Q52">
        <f>TEXT(B52,"dddd")</f>
        <v/>
      </c>
    </row>
    <row r="53">
      <c r="A53" t="inlineStr">
        <is>
          <t>O050</t>
        </is>
      </c>
      <c r="B53" s="3" t="n">
        <v>45740</v>
      </c>
      <c r="C53" t="inlineStr">
        <is>
          <t>East</t>
        </is>
      </c>
      <c r="D53" t="inlineStr">
        <is>
          <t>Electronics</t>
        </is>
      </c>
      <c r="E53" t="inlineStr">
        <is>
          <t>Monitor</t>
        </is>
      </c>
      <c r="F53" t="inlineStr">
        <is>
          <t>Rahul</t>
        </is>
      </c>
      <c r="G53" t="n">
        <v>3</v>
      </c>
      <c r="H53" t="n">
        <v>18000</v>
      </c>
      <c r="I53" t="n">
        <v>0</v>
      </c>
      <c r="J53" t="inlineStr">
        <is>
          <t>Pending</t>
        </is>
      </c>
      <c r="K53">
        <f>G53*H53</f>
        <v/>
      </c>
      <c r="L53">
        <f>K53*I53</f>
        <v/>
      </c>
      <c r="M53">
        <f>K53-L53</f>
        <v/>
      </c>
      <c r="N53">
        <f>M53*IF(D53="Electronics",0.15,IF(D53="Furniture",0.20,0.25))</f>
        <v/>
      </c>
      <c r="O53">
        <f>TEXT(B53,"mmm")</f>
        <v/>
      </c>
      <c r="P53">
        <f>YEAR(B53)</f>
        <v/>
      </c>
      <c r="Q53">
        <f>TEXT(B53,"dddd")</f>
        <v/>
      </c>
    </row>
    <row r="54">
      <c r="A54" t="inlineStr">
        <is>
          <t>O051</t>
        </is>
      </c>
      <c r="B54" s="3" t="n">
        <v>45772</v>
      </c>
      <c r="C54" t="inlineStr">
        <is>
          <t>West</t>
        </is>
      </c>
      <c r="D54" t="inlineStr">
        <is>
          <t>Accessories</t>
        </is>
      </c>
      <c r="E54" t="inlineStr">
        <is>
          <t>Mouse</t>
        </is>
      </c>
      <c r="F54" t="inlineStr">
        <is>
          <t>Neha</t>
        </is>
      </c>
      <c r="G54" t="n">
        <v>4</v>
      </c>
      <c r="H54" t="n">
        <v>900</v>
      </c>
      <c r="I54" t="n">
        <v>0.02</v>
      </c>
      <c r="J54" t="inlineStr">
        <is>
          <t>Cancelled</t>
        </is>
      </c>
      <c r="K54">
        <f>G54*H54</f>
        <v/>
      </c>
      <c r="L54">
        <f>K54*I54</f>
        <v/>
      </c>
      <c r="M54">
        <f>K54-L54</f>
        <v/>
      </c>
      <c r="N54">
        <f>M54*IF(D54="Electronics",0.15,IF(D54="Furniture",0.20,0.25))</f>
        <v/>
      </c>
      <c r="O54">
        <f>TEXT(B54,"mmm")</f>
        <v/>
      </c>
      <c r="P54">
        <f>YEAR(B54)</f>
        <v/>
      </c>
      <c r="Q54">
        <f>TEXT(B54,"dddd")</f>
        <v/>
      </c>
    </row>
    <row r="55">
      <c r="A55" t="inlineStr">
        <is>
          <t>O052</t>
        </is>
      </c>
      <c r="B55" s="3" t="n">
        <v>45803</v>
      </c>
      <c r="C55" t="inlineStr">
        <is>
          <t>North</t>
        </is>
      </c>
      <c r="D55" t="inlineStr">
        <is>
          <t>Furniture</t>
        </is>
      </c>
      <c r="E55" t="inlineStr">
        <is>
          <t>Chair</t>
        </is>
      </c>
      <c r="F55" t="inlineStr">
        <is>
          <t>Kabir</t>
        </is>
      </c>
      <c r="G55" t="n">
        <v>5</v>
      </c>
      <c r="H55" t="n">
        <v>8500</v>
      </c>
      <c r="I55" t="n">
        <v>0.05</v>
      </c>
      <c r="J55" t="inlineStr">
        <is>
          <t>Completed</t>
        </is>
      </c>
      <c r="K55">
        <f>G55*H55</f>
        <v/>
      </c>
      <c r="L55">
        <f>K55*I55</f>
        <v/>
      </c>
      <c r="M55">
        <f>K55-L55</f>
        <v/>
      </c>
      <c r="N55">
        <f>M55*IF(D55="Electronics",0.15,IF(D55="Furniture",0.20,0.25))</f>
        <v/>
      </c>
      <c r="O55">
        <f>TEXT(B55,"mmm")</f>
        <v/>
      </c>
      <c r="P55">
        <f>YEAR(B55)</f>
        <v/>
      </c>
      <c r="Q55">
        <f>TEXT(B55,"dddd")</f>
        <v/>
      </c>
    </row>
    <row r="56">
      <c r="A56" t="inlineStr">
        <is>
          <t>O053</t>
        </is>
      </c>
      <c r="B56" s="3" t="n">
        <v>45835</v>
      </c>
      <c r="C56" t="inlineStr">
        <is>
          <t>South</t>
        </is>
      </c>
      <c r="D56" t="inlineStr">
        <is>
          <t>Furniture</t>
        </is>
      </c>
      <c r="E56" t="inlineStr">
        <is>
          <t>Desk</t>
        </is>
      </c>
      <c r="F56" t="inlineStr">
        <is>
          <t>Sana</t>
        </is>
      </c>
      <c r="G56" t="n">
        <v>6</v>
      </c>
      <c r="H56" t="n">
        <v>12000</v>
      </c>
      <c r="I56" t="n">
        <v>0.08</v>
      </c>
      <c r="J56" t="inlineStr">
        <is>
          <t>Completed</t>
        </is>
      </c>
      <c r="K56">
        <f>G56*H56</f>
        <v/>
      </c>
      <c r="L56">
        <f>K56*I56</f>
        <v/>
      </c>
      <c r="M56">
        <f>K56-L56</f>
        <v/>
      </c>
      <c r="N56">
        <f>M56*IF(D56="Electronics",0.15,IF(D56="Furniture",0.20,0.25))</f>
        <v/>
      </c>
      <c r="O56">
        <f>TEXT(B56,"mmm")</f>
        <v/>
      </c>
      <c r="P56">
        <f>YEAR(B56)</f>
        <v/>
      </c>
      <c r="Q56">
        <f>TEXT(B56,"dddd")</f>
        <v/>
      </c>
    </row>
    <row r="57">
      <c r="A57" t="inlineStr">
        <is>
          <t>O054</t>
        </is>
      </c>
      <c r="B57" s="3" t="n">
        <v>45839</v>
      </c>
      <c r="C57" t="inlineStr">
        <is>
          <t>East</t>
        </is>
      </c>
      <c r="D57" t="inlineStr">
        <is>
          <t>Accessories</t>
        </is>
      </c>
      <c r="E57" t="inlineStr">
        <is>
          <t>Keyboard</t>
        </is>
      </c>
      <c r="F57" t="inlineStr">
        <is>
          <t>Ishaan</t>
        </is>
      </c>
      <c r="G57" t="n">
        <v>7</v>
      </c>
      <c r="H57" t="n">
        <v>1800</v>
      </c>
      <c r="I57" t="n">
        <v>0.1</v>
      </c>
      <c r="J57" t="inlineStr">
        <is>
          <t>Pending</t>
        </is>
      </c>
      <c r="K57">
        <f>G57*H57</f>
        <v/>
      </c>
      <c r="L57">
        <f>K57*I57</f>
        <v/>
      </c>
      <c r="M57">
        <f>K57-L57</f>
        <v/>
      </c>
      <c r="N57">
        <f>M57*IF(D57="Electronics",0.15,IF(D57="Furniture",0.20,0.25))</f>
        <v/>
      </c>
      <c r="O57">
        <f>TEXT(B57,"mmm")</f>
        <v/>
      </c>
      <c r="P57">
        <f>YEAR(B57)</f>
        <v/>
      </c>
      <c r="Q57">
        <f>TEXT(B57,"dddd")</f>
        <v/>
      </c>
    </row>
    <row r="58">
      <c r="A58" t="inlineStr">
        <is>
          <t>O055</t>
        </is>
      </c>
      <c r="B58" s="3" t="n">
        <v>45871</v>
      </c>
      <c r="C58" t="inlineStr">
        <is>
          <t>West</t>
        </is>
      </c>
      <c r="D58" t="inlineStr">
        <is>
          <t>Electronics</t>
        </is>
      </c>
      <c r="E58" t="inlineStr">
        <is>
          <t>Laptop</t>
        </is>
      </c>
      <c r="F58" t="inlineStr">
        <is>
          <t>Meera</t>
        </is>
      </c>
      <c r="G58" t="n">
        <v>8</v>
      </c>
      <c r="H58" t="n">
        <v>55000</v>
      </c>
      <c r="I58" t="n">
        <v>0</v>
      </c>
      <c r="J58" t="inlineStr">
        <is>
          <t>Cancelled</t>
        </is>
      </c>
      <c r="K58">
        <f>G58*H58</f>
        <v/>
      </c>
      <c r="L58">
        <f>K58*I58</f>
        <v/>
      </c>
      <c r="M58">
        <f>K58-L58</f>
        <v/>
      </c>
      <c r="N58">
        <f>M58*IF(D58="Electronics",0.15,IF(D58="Furniture",0.20,0.25))</f>
        <v/>
      </c>
      <c r="O58">
        <f>TEXT(B58,"mmm")</f>
        <v/>
      </c>
      <c r="P58">
        <f>YEAR(B58)</f>
        <v/>
      </c>
      <c r="Q58">
        <f>TEXT(B58,"dddd")</f>
        <v/>
      </c>
    </row>
    <row r="59">
      <c r="A59" t="inlineStr">
        <is>
          <t>O056</t>
        </is>
      </c>
      <c r="B59" s="3" t="n">
        <v>45903</v>
      </c>
      <c r="C59" t="inlineStr">
        <is>
          <t>North</t>
        </is>
      </c>
      <c r="D59" t="inlineStr">
        <is>
          <t>Electronics</t>
        </is>
      </c>
      <c r="E59" t="inlineStr">
        <is>
          <t>Monitor</t>
        </is>
      </c>
      <c r="F59" t="inlineStr">
        <is>
          <t>Aarav</t>
        </is>
      </c>
      <c r="G59" t="n">
        <v>1</v>
      </c>
      <c r="H59" t="n">
        <v>18000</v>
      </c>
      <c r="I59" t="n">
        <v>0.02</v>
      </c>
      <c r="J59" t="inlineStr">
        <is>
          <t>Completed</t>
        </is>
      </c>
      <c r="K59">
        <f>G59*H59</f>
        <v/>
      </c>
      <c r="L59">
        <f>K59*I59</f>
        <v/>
      </c>
      <c r="M59">
        <f>K59-L59</f>
        <v/>
      </c>
      <c r="N59">
        <f>M59*IF(D59="Electronics",0.15,IF(D59="Furniture",0.20,0.25))</f>
        <v/>
      </c>
      <c r="O59">
        <f>TEXT(B59,"mmm")</f>
        <v/>
      </c>
      <c r="P59">
        <f>YEAR(B59)</f>
        <v/>
      </c>
      <c r="Q59">
        <f>TEXT(B59,"dddd")</f>
        <v/>
      </c>
    </row>
    <row r="60">
      <c r="A60" t="inlineStr">
        <is>
          <t>O057</t>
        </is>
      </c>
      <c r="B60" s="3" t="n">
        <v>45934</v>
      </c>
      <c r="C60" t="inlineStr">
        <is>
          <t>South</t>
        </is>
      </c>
      <c r="D60" t="inlineStr">
        <is>
          <t>Accessories</t>
        </is>
      </c>
      <c r="E60" t="inlineStr">
        <is>
          <t>Mouse</t>
        </is>
      </c>
      <c r="F60" t="inlineStr">
        <is>
          <t>Riya</t>
        </is>
      </c>
      <c r="G60" t="n">
        <v>2</v>
      </c>
      <c r="H60" t="n">
        <v>900</v>
      </c>
      <c r="I60" t="n">
        <v>0.05</v>
      </c>
      <c r="J60" t="inlineStr">
        <is>
          <t>Completed</t>
        </is>
      </c>
      <c r="K60">
        <f>G60*H60</f>
        <v/>
      </c>
      <c r="L60">
        <f>K60*I60</f>
        <v/>
      </c>
      <c r="M60">
        <f>K60-L60</f>
        <v/>
      </c>
      <c r="N60">
        <f>M60*IF(D60="Electronics",0.15,IF(D60="Furniture",0.20,0.25))</f>
        <v/>
      </c>
      <c r="O60">
        <f>TEXT(B60,"mmm")</f>
        <v/>
      </c>
      <c r="P60">
        <f>YEAR(B60)</f>
        <v/>
      </c>
      <c r="Q60">
        <f>TEXT(B60,"dddd")</f>
        <v/>
      </c>
    </row>
    <row r="61">
      <c r="A61" t="inlineStr">
        <is>
          <t>O058</t>
        </is>
      </c>
      <c r="B61" s="3" t="n">
        <v>45966</v>
      </c>
      <c r="C61" t="inlineStr">
        <is>
          <t>East</t>
        </is>
      </c>
      <c r="D61" t="inlineStr">
        <is>
          <t>Furniture</t>
        </is>
      </c>
      <c r="E61" t="inlineStr">
        <is>
          <t>Chair</t>
        </is>
      </c>
      <c r="F61" t="inlineStr">
        <is>
          <t>Rahul</t>
        </is>
      </c>
      <c r="G61" t="n">
        <v>3</v>
      </c>
      <c r="H61" t="n">
        <v>8500</v>
      </c>
      <c r="I61" t="n">
        <v>0.08</v>
      </c>
      <c r="J61" t="inlineStr">
        <is>
          <t>Pending</t>
        </is>
      </c>
      <c r="K61">
        <f>G61*H61</f>
        <v/>
      </c>
      <c r="L61">
        <f>K61*I61</f>
        <v/>
      </c>
      <c r="M61">
        <f>K61-L61</f>
        <v/>
      </c>
      <c r="N61">
        <f>M61*IF(D61="Electronics",0.15,IF(D61="Furniture",0.20,0.25))</f>
        <v/>
      </c>
      <c r="O61">
        <f>TEXT(B61,"mmm")</f>
        <v/>
      </c>
      <c r="P61">
        <f>YEAR(B61)</f>
        <v/>
      </c>
      <c r="Q61">
        <f>TEXT(B61,"dddd")</f>
        <v/>
      </c>
    </row>
    <row r="62">
      <c r="A62" t="inlineStr">
        <is>
          <t>O059</t>
        </is>
      </c>
      <c r="B62" s="3" t="n">
        <v>45997</v>
      </c>
      <c r="C62" t="inlineStr">
        <is>
          <t>West</t>
        </is>
      </c>
      <c r="D62" t="inlineStr">
        <is>
          <t>Furniture</t>
        </is>
      </c>
      <c r="E62" t="inlineStr">
        <is>
          <t>Desk</t>
        </is>
      </c>
      <c r="F62" t="inlineStr">
        <is>
          <t>Neha</t>
        </is>
      </c>
      <c r="G62" t="n">
        <v>4</v>
      </c>
      <c r="H62" t="n">
        <v>12000</v>
      </c>
      <c r="I62" t="n">
        <v>0.1</v>
      </c>
      <c r="J62" t="inlineStr">
        <is>
          <t>Cancelled</t>
        </is>
      </c>
      <c r="K62">
        <f>G62*H62</f>
        <v/>
      </c>
      <c r="L62">
        <f>K62*I62</f>
        <v/>
      </c>
      <c r="M62">
        <f>K62-L62</f>
        <v/>
      </c>
      <c r="N62">
        <f>M62*IF(D62="Electronics",0.15,IF(D62="Furniture",0.20,0.25))</f>
        <v/>
      </c>
      <c r="O62">
        <f>TEXT(B62,"mmm")</f>
        <v/>
      </c>
      <c r="P62">
        <f>YEAR(B62)</f>
        <v/>
      </c>
      <c r="Q62">
        <f>TEXT(B62,"dddd")</f>
        <v/>
      </c>
    </row>
    <row r="63">
      <c r="A63" t="inlineStr">
        <is>
          <t>O060</t>
        </is>
      </c>
      <c r="B63" s="3" t="n">
        <v>45664</v>
      </c>
      <c r="C63" t="inlineStr">
        <is>
          <t>North</t>
        </is>
      </c>
      <c r="D63" t="inlineStr">
        <is>
          <t>Accessories</t>
        </is>
      </c>
      <c r="E63" t="inlineStr">
        <is>
          <t>Keyboard</t>
        </is>
      </c>
      <c r="F63" t="inlineStr">
        <is>
          <t>Kabir</t>
        </is>
      </c>
      <c r="G63" t="n">
        <v>5</v>
      </c>
      <c r="H63" t="n">
        <v>1800</v>
      </c>
      <c r="I63" t="n">
        <v>0</v>
      </c>
      <c r="J63" t="inlineStr">
        <is>
          <t>Completed</t>
        </is>
      </c>
      <c r="K63">
        <f>G63*H63</f>
        <v/>
      </c>
      <c r="L63">
        <f>K63*I63</f>
        <v/>
      </c>
      <c r="M63">
        <f>K63-L63</f>
        <v/>
      </c>
      <c r="N63">
        <f>M63*IF(D63="Electronics",0.15,IF(D63="Furniture",0.20,0.25))</f>
        <v/>
      </c>
      <c r="O63">
        <f>TEXT(B63,"mmm")</f>
        <v/>
      </c>
      <c r="P63">
        <f>YEAR(B63)</f>
        <v/>
      </c>
      <c r="Q63">
        <f>TEXT(B63,"dddd")</f>
        <v/>
      </c>
    </row>
    <row r="64">
      <c r="A64" t="inlineStr">
        <is>
          <t>O061</t>
        </is>
      </c>
      <c r="B64" s="3" t="n">
        <v>45696</v>
      </c>
      <c r="C64" t="inlineStr">
        <is>
          <t>South</t>
        </is>
      </c>
      <c r="D64" t="inlineStr">
        <is>
          <t>Electronics</t>
        </is>
      </c>
      <c r="E64" t="inlineStr">
        <is>
          <t>Laptop</t>
        </is>
      </c>
      <c r="F64" t="inlineStr">
        <is>
          <t>Sana</t>
        </is>
      </c>
      <c r="G64" t="n">
        <v>6</v>
      </c>
      <c r="H64" t="n">
        <v>55000</v>
      </c>
      <c r="I64" t="n">
        <v>0.02</v>
      </c>
      <c r="J64" t="inlineStr">
        <is>
          <t>Completed</t>
        </is>
      </c>
      <c r="K64">
        <f>G64*H64</f>
        <v/>
      </c>
      <c r="L64">
        <f>K64*I64</f>
        <v/>
      </c>
      <c r="M64">
        <f>K64-L64</f>
        <v/>
      </c>
      <c r="N64">
        <f>M64*IF(D64="Electronics",0.15,IF(D64="Furniture",0.20,0.25))</f>
        <v/>
      </c>
      <c r="O64">
        <f>TEXT(B64,"mmm")</f>
        <v/>
      </c>
      <c r="P64">
        <f>YEAR(B64)</f>
        <v/>
      </c>
      <c r="Q64">
        <f>TEXT(B64,"dddd")</f>
        <v/>
      </c>
    </row>
    <row r="65">
      <c r="A65" t="inlineStr">
        <is>
          <t>O062</t>
        </is>
      </c>
      <c r="B65" s="3" t="n">
        <v>45725</v>
      </c>
      <c r="C65" t="inlineStr">
        <is>
          <t>East</t>
        </is>
      </c>
      <c r="D65" t="inlineStr">
        <is>
          <t>Electronics</t>
        </is>
      </c>
      <c r="E65" t="inlineStr">
        <is>
          <t>Monitor</t>
        </is>
      </c>
      <c r="F65" t="inlineStr">
        <is>
          <t>Ishaan</t>
        </is>
      </c>
      <c r="G65" t="n">
        <v>7</v>
      </c>
      <c r="H65" t="n">
        <v>18000</v>
      </c>
      <c r="I65" t="n">
        <v>0.05</v>
      </c>
      <c r="J65" t="inlineStr">
        <is>
          <t>Pending</t>
        </is>
      </c>
      <c r="K65">
        <f>G65*H65</f>
        <v/>
      </c>
      <c r="L65">
        <f>K65*I65</f>
        <v/>
      </c>
      <c r="M65">
        <f>K65-L65</f>
        <v/>
      </c>
      <c r="N65">
        <f>M65*IF(D65="Electronics",0.15,IF(D65="Furniture",0.20,0.25))</f>
        <v/>
      </c>
      <c r="O65">
        <f>TEXT(B65,"mmm")</f>
        <v/>
      </c>
      <c r="P65">
        <f>YEAR(B65)</f>
        <v/>
      </c>
      <c r="Q65">
        <f>TEXT(B65,"dddd")</f>
        <v/>
      </c>
    </row>
    <row r="66">
      <c r="A66" t="inlineStr">
        <is>
          <t>O063</t>
        </is>
      </c>
      <c r="B66" s="3" t="n">
        <v>45757</v>
      </c>
      <c r="C66" t="inlineStr">
        <is>
          <t>West</t>
        </is>
      </c>
      <c r="D66" t="inlineStr">
        <is>
          <t>Accessories</t>
        </is>
      </c>
      <c r="E66" t="inlineStr">
        <is>
          <t>Mouse</t>
        </is>
      </c>
      <c r="F66" t="inlineStr">
        <is>
          <t>Meera</t>
        </is>
      </c>
      <c r="G66" t="n">
        <v>8</v>
      </c>
      <c r="H66" t="n">
        <v>900</v>
      </c>
      <c r="I66" t="n">
        <v>0.08</v>
      </c>
      <c r="J66" t="inlineStr">
        <is>
          <t>Cancelled</t>
        </is>
      </c>
      <c r="K66">
        <f>G66*H66</f>
        <v/>
      </c>
      <c r="L66">
        <f>K66*I66</f>
        <v/>
      </c>
      <c r="M66">
        <f>K66-L66</f>
        <v/>
      </c>
      <c r="N66">
        <f>M66*IF(D66="Electronics",0.15,IF(D66="Furniture",0.20,0.25))</f>
        <v/>
      </c>
      <c r="O66">
        <f>TEXT(B66,"mmm")</f>
        <v/>
      </c>
      <c r="P66">
        <f>YEAR(B66)</f>
        <v/>
      </c>
      <c r="Q66">
        <f>TEXT(B66,"dddd")</f>
        <v/>
      </c>
    </row>
    <row r="67">
      <c r="A67" t="inlineStr">
        <is>
          <t>O064</t>
        </is>
      </c>
      <c r="B67" s="3" t="n">
        <v>45788</v>
      </c>
      <c r="C67" t="inlineStr">
        <is>
          <t>North</t>
        </is>
      </c>
      <c r="D67" t="inlineStr">
        <is>
          <t>Furniture</t>
        </is>
      </c>
      <c r="E67" t="inlineStr">
        <is>
          <t>Chair</t>
        </is>
      </c>
      <c r="F67" t="inlineStr">
        <is>
          <t>Aarav</t>
        </is>
      </c>
      <c r="G67" t="n">
        <v>1</v>
      </c>
      <c r="H67" t="n">
        <v>8500</v>
      </c>
      <c r="I67" t="n">
        <v>0.1</v>
      </c>
      <c r="J67" t="inlineStr">
        <is>
          <t>Completed</t>
        </is>
      </c>
      <c r="K67">
        <f>G67*H67</f>
        <v/>
      </c>
      <c r="L67">
        <f>K67*I67</f>
        <v/>
      </c>
      <c r="M67">
        <f>K67-L67</f>
        <v/>
      </c>
      <c r="N67">
        <f>M67*IF(D67="Electronics",0.15,IF(D67="Furniture",0.20,0.25))</f>
        <v/>
      </c>
      <c r="O67">
        <f>TEXT(B67,"mmm")</f>
        <v/>
      </c>
      <c r="P67">
        <f>YEAR(B67)</f>
        <v/>
      </c>
      <c r="Q67">
        <f>TEXT(B67,"dddd")</f>
        <v/>
      </c>
    </row>
    <row r="68">
      <c r="A68" t="inlineStr">
        <is>
          <t>O065</t>
        </is>
      </c>
      <c r="B68" s="3" t="n">
        <v>45820</v>
      </c>
      <c r="C68" t="inlineStr">
        <is>
          <t>South</t>
        </is>
      </c>
      <c r="D68" t="inlineStr">
        <is>
          <t>Furniture</t>
        </is>
      </c>
      <c r="E68" t="inlineStr">
        <is>
          <t>Desk</t>
        </is>
      </c>
      <c r="F68" t="inlineStr">
        <is>
          <t>Riya</t>
        </is>
      </c>
      <c r="G68" t="n">
        <v>2</v>
      </c>
      <c r="H68" t="n">
        <v>12000</v>
      </c>
      <c r="I68" t="n">
        <v>0</v>
      </c>
      <c r="J68" t="inlineStr">
        <is>
          <t>Completed</t>
        </is>
      </c>
      <c r="K68">
        <f>G68*H68</f>
        <v/>
      </c>
      <c r="L68">
        <f>K68*I68</f>
        <v/>
      </c>
      <c r="M68">
        <f>K68-L68</f>
        <v/>
      </c>
      <c r="N68">
        <f>M68*IF(D68="Electronics",0.15,IF(D68="Furniture",0.20,0.25))</f>
        <v/>
      </c>
      <c r="O68">
        <f>TEXT(B68,"mmm")</f>
        <v/>
      </c>
      <c r="P68">
        <f>YEAR(B68)</f>
        <v/>
      </c>
      <c r="Q68">
        <f>TEXT(B68,"dddd")</f>
        <v/>
      </c>
    </row>
    <row r="69">
      <c r="A69" t="inlineStr">
        <is>
          <t>O066</t>
        </is>
      </c>
      <c r="B69" s="3" t="n">
        <v>45851</v>
      </c>
      <c r="C69" t="inlineStr">
        <is>
          <t>East</t>
        </is>
      </c>
      <c r="D69" t="inlineStr">
        <is>
          <t>Accessories</t>
        </is>
      </c>
      <c r="E69" t="inlineStr">
        <is>
          <t>Keyboard</t>
        </is>
      </c>
      <c r="F69" t="inlineStr">
        <is>
          <t>Rahul</t>
        </is>
      </c>
      <c r="G69" t="n">
        <v>3</v>
      </c>
      <c r="H69" t="n">
        <v>1800</v>
      </c>
      <c r="I69" t="n">
        <v>0.02</v>
      </c>
      <c r="J69" t="inlineStr">
        <is>
          <t>Pending</t>
        </is>
      </c>
      <c r="K69">
        <f>G69*H69</f>
        <v/>
      </c>
      <c r="L69">
        <f>K69*I69</f>
        <v/>
      </c>
      <c r="M69">
        <f>K69-L69</f>
        <v/>
      </c>
      <c r="N69">
        <f>M69*IF(D69="Electronics",0.15,IF(D69="Furniture",0.20,0.25))</f>
        <v/>
      </c>
      <c r="O69">
        <f>TEXT(B69,"mmm")</f>
        <v/>
      </c>
      <c r="P69">
        <f>YEAR(B69)</f>
        <v/>
      </c>
      <c r="Q69">
        <f>TEXT(B69,"dddd")</f>
        <v/>
      </c>
    </row>
    <row r="70">
      <c r="A70" t="inlineStr">
        <is>
          <t>O067</t>
        </is>
      </c>
      <c r="B70" s="3" t="n">
        <v>45883</v>
      </c>
      <c r="C70" t="inlineStr">
        <is>
          <t>West</t>
        </is>
      </c>
      <c r="D70" t="inlineStr">
        <is>
          <t>Electronics</t>
        </is>
      </c>
      <c r="E70" t="inlineStr">
        <is>
          <t>Laptop</t>
        </is>
      </c>
      <c r="F70" t="inlineStr">
        <is>
          <t>Neha</t>
        </is>
      </c>
      <c r="G70" t="n">
        <v>4</v>
      </c>
      <c r="H70" t="n">
        <v>55000</v>
      </c>
      <c r="I70" t="n">
        <v>0.05</v>
      </c>
      <c r="J70" t="inlineStr">
        <is>
          <t>Cancelled</t>
        </is>
      </c>
      <c r="K70">
        <f>G70*H70</f>
        <v/>
      </c>
      <c r="L70">
        <f>K70*I70</f>
        <v/>
      </c>
      <c r="M70">
        <f>K70-L70</f>
        <v/>
      </c>
      <c r="N70">
        <f>M70*IF(D70="Electronics",0.15,IF(D70="Furniture",0.20,0.25))</f>
        <v/>
      </c>
      <c r="O70">
        <f>TEXT(B70,"mmm")</f>
        <v/>
      </c>
      <c r="P70">
        <f>YEAR(B70)</f>
        <v/>
      </c>
      <c r="Q70">
        <f>TEXT(B70,"dddd")</f>
        <v/>
      </c>
    </row>
    <row r="71">
      <c r="A71" t="inlineStr">
        <is>
          <t>O068</t>
        </is>
      </c>
      <c r="B71" s="3" t="n">
        <v>45915</v>
      </c>
      <c r="C71" t="inlineStr">
        <is>
          <t>North</t>
        </is>
      </c>
      <c r="D71" t="inlineStr">
        <is>
          <t>Electronics</t>
        </is>
      </c>
      <c r="E71" t="inlineStr">
        <is>
          <t>Monitor</t>
        </is>
      </c>
      <c r="F71" t="inlineStr">
        <is>
          <t>Kabir</t>
        </is>
      </c>
      <c r="G71" t="n">
        <v>5</v>
      </c>
      <c r="H71" t="n">
        <v>18000</v>
      </c>
      <c r="I71" t="n">
        <v>0.08</v>
      </c>
      <c r="J71" t="inlineStr">
        <is>
          <t>Completed</t>
        </is>
      </c>
      <c r="K71">
        <f>G71*H71</f>
        <v/>
      </c>
      <c r="L71">
        <f>K71*I71</f>
        <v/>
      </c>
      <c r="M71">
        <f>K71-L71</f>
        <v/>
      </c>
      <c r="N71">
        <f>M71*IF(D71="Electronics",0.15,IF(D71="Furniture",0.20,0.25))</f>
        <v/>
      </c>
      <c r="O71">
        <f>TEXT(B71,"mmm")</f>
        <v/>
      </c>
      <c r="P71">
        <f>YEAR(B71)</f>
        <v/>
      </c>
      <c r="Q71">
        <f>TEXT(B71,"dddd")</f>
        <v/>
      </c>
    </row>
    <row r="72">
      <c r="A72" t="inlineStr">
        <is>
          <t>O069</t>
        </is>
      </c>
      <c r="B72" s="3" t="n">
        <v>45946</v>
      </c>
      <c r="C72" t="inlineStr">
        <is>
          <t>South</t>
        </is>
      </c>
      <c r="D72" t="inlineStr">
        <is>
          <t>Accessories</t>
        </is>
      </c>
      <c r="E72" t="inlineStr">
        <is>
          <t>Mouse</t>
        </is>
      </c>
      <c r="F72" t="inlineStr">
        <is>
          <t>Sana</t>
        </is>
      </c>
      <c r="G72" t="n">
        <v>6</v>
      </c>
      <c r="H72" t="n">
        <v>900</v>
      </c>
      <c r="I72" t="n">
        <v>0.1</v>
      </c>
      <c r="J72" t="inlineStr">
        <is>
          <t>Completed</t>
        </is>
      </c>
      <c r="K72">
        <f>G72*H72</f>
        <v/>
      </c>
      <c r="L72">
        <f>K72*I72</f>
        <v/>
      </c>
      <c r="M72">
        <f>K72-L72</f>
        <v/>
      </c>
      <c r="N72">
        <f>M72*IF(D72="Electronics",0.15,IF(D72="Furniture",0.20,0.25))</f>
        <v/>
      </c>
      <c r="O72">
        <f>TEXT(B72,"mmm")</f>
        <v/>
      </c>
      <c r="P72">
        <f>YEAR(B72)</f>
        <v/>
      </c>
      <c r="Q72">
        <f>TEXT(B72,"dddd")</f>
        <v/>
      </c>
    </row>
    <row r="73">
      <c r="A73" t="inlineStr">
        <is>
          <t>O070</t>
        </is>
      </c>
      <c r="B73" s="3" t="n">
        <v>45978</v>
      </c>
      <c r="C73" t="inlineStr">
        <is>
          <t>East</t>
        </is>
      </c>
      <c r="D73" t="inlineStr">
        <is>
          <t>Furniture</t>
        </is>
      </c>
      <c r="E73" t="inlineStr">
        <is>
          <t>Chair</t>
        </is>
      </c>
      <c r="F73" t="inlineStr">
        <is>
          <t>Ishaan</t>
        </is>
      </c>
      <c r="G73" t="n">
        <v>7</v>
      </c>
      <c r="H73" t="n">
        <v>8500</v>
      </c>
      <c r="I73" t="n">
        <v>0</v>
      </c>
      <c r="J73" t="inlineStr">
        <is>
          <t>Pending</t>
        </is>
      </c>
      <c r="K73">
        <f>G73*H73</f>
        <v/>
      </c>
      <c r="L73">
        <f>K73*I73</f>
        <v/>
      </c>
      <c r="M73">
        <f>K73-L73</f>
        <v/>
      </c>
      <c r="N73">
        <f>M73*IF(D73="Electronics",0.15,IF(D73="Furniture",0.20,0.25))</f>
        <v/>
      </c>
      <c r="O73">
        <f>TEXT(B73,"mmm")</f>
        <v/>
      </c>
      <c r="P73">
        <f>YEAR(B73)</f>
        <v/>
      </c>
      <c r="Q73">
        <f>TEXT(B73,"dddd")</f>
        <v/>
      </c>
    </row>
    <row r="74">
      <c r="A74" t="inlineStr">
        <is>
          <t>O071</t>
        </is>
      </c>
      <c r="B74" s="3" t="n">
        <v>46009</v>
      </c>
      <c r="C74" t="inlineStr">
        <is>
          <t>West</t>
        </is>
      </c>
      <c r="D74" t="inlineStr">
        <is>
          <t>Furniture</t>
        </is>
      </c>
      <c r="E74" t="inlineStr">
        <is>
          <t>Desk</t>
        </is>
      </c>
      <c r="F74" t="inlineStr">
        <is>
          <t>Meera</t>
        </is>
      </c>
      <c r="G74" t="n">
        <v>8</v>
      </c>
      <c r="H74" t="n">
        <v>12000</v>
      </c>
      <c r="I74" t="n">
        <v>0.02</v>
      </c>
      <c r="J74" t="inlineStr">
        <is>
          <t>Cancelled</t>
        </is>
      </c>
      <c r="K74">
        <f>G74*H74</f>
        <v/>
      </c>
      <c r="L74">
        <f>K74*I74</f>
        <v/>
      </c>
      <c r="M74">
        <f>K74-L74</f>
        <v/>
      </c>
      <c r="N74">
        <f>M74*IF(D74="Electronics",0.15,IF(D74="Furniture",0.20,0.25))</f>
        <v/>
      </c>
      <c r="O74">
        <f>TEXT(B74,"mmm")</f>
        <v/>
      </c>
      <c r="P74">
        <f>YEAR(B74)</f>
        <v/>
      </c>
      <c r="Q74">
        <f>TEXT(B74,"dddd")</f>
        <v/>
      </c>
    </row>
    <row r="75">
      <c r="A75" t="inlineStr">
        <is>
          <t>O072</t>
        </is>
      </c>
      <c r="B75" s="3" t="n">
        <v>45676</v>
      </c>
      <c r="C75" t="inlineStr">
        <is>
          <t>North</t>
        </is>
      </c>
      <c r="D75" t="inlineStr">
        <is>
          <t>Accessories</t>
        </is>
      </c>
      <c r="E75" t="inlineStr">
        <is>
          <t>Keyboard</t>
        </is>
      </c>
      <c r="F75" t="inlineStr">
        <is>
          <t>Aarav</t>
        </is>
      </c>
      <c r="G75" t="n">
        <v>1</v>
      </c>
      <c r="H75" t="n">
        <v>1800</v>
      </c>
      <c r="I75" t="n">
        <v>0.05</v>
      </c>
      <c r="J75" t="inlineStr">
        <is>
          <t>Completed</t>
        </is>
      </c>
      <c r="K75">
        <f>G75*H75</f>
        <v/>
      </c>
      <c r="L75">
        <f>K75*I75</f>
        <v/>
      </c>
      <c r="M75">
        <f>K75-L75</f>
        <v/>
      </c>
      <c r="N75">
        <f>M75*IF(D75="Electronics",0.15,IF(D75="Furniture",0.20,0.25))</f>
        <v/>
      </c>
      <c r="O75">
        <f>TEXT(B75,"mmm")</f>
        <v/>
      </c>
      <c r="P75">
        <f>YEAR(B75)</f>
        <v/>
      </c>
      <c r="Q75">
        <f>TEXT(B75,"dddd")</f>
        <v/>
      </c>
    </row>
    <row r="76">
      <c r="A76" t="inlineStr">
        <is>
          <t>O073</t>
        </is>
      </c>
      <c r="B76" s="3" t="n">
        <v>45708</v>
      </c>
      <c r="C76" t="inlineStr">
        <is>
          <t>South</t>
        </is>
      </c>
      <c r="D76" t="inlineStr">
        <is>
          <t>Electronics</t>
        </is>
      </c>
      <c r="E76" t="inlineStr">
        <is>
          <t>Laptop</t>
        </is>
      </c>
      <c r="F76" t="inlineStr">
        <is>
          <t>Riya</t>
        </is>
      </c>
      <c r="G76" t="n">
        <v>2</v>
      </c>
      <c r="H76" t="n">
        <v>55000</v>
      </c>
      <c r="I76" t="n">
        <v>0.08</v>
      </c>
      <c r="J76" t="inlineStr">
        <is>
          <t>Completed</t>
        </is>
      </c>
      <c r="K76">
        <f>G76*H76</f>
        <v/>
      </c>
      <c r="L76">
        <f>K76*I76</f>
        <v/>
      </c>
      <c r="M76">
        <f>K76-L76</f>
        <v/>
      </c>
      <c r="N76">
        <f>M76*IF(D76="Electronics",0.15,IF(D76="Furniture",0.20,0.25))</f>
        <v/>
      </c>
      <c r="O76">
        <f>TEXT(B76,"mmm")</f>
        <v/>
      </c>
      <c r="P76">
        <f>YEAR(B76)</f>
        <v/>
      </c>
      <c r="Q76">
        <f>TEXT(B76,"dddd")</f>
        <v/>
      </c>
    </row>
    <row r="77">
      <c r="A77" t="inlineStr">
        <is>
          <t>O074</t>
        </is>
      </c>
      <c r="B77" s="3" t="n">
        <v>45737</v>
      </c>
      <c r="C77" t="inlineStr">
        <is>
          <t>East</t>
        </is>
      </c>
      <c r="D77" t="inlineStr">
        <is>
          <t>Electronics</t>
        </is>
      </c>
      <c r="E77" t="inlineStr">
        <is>
          <t>Monitor</t>
        </is>
      </c>
      <c r="F77" t="inlineStr">
        <is>
          <t>Rahul</t>
        </is>
      </c>
      <c r="G77" t="n">
        <v>3</v>
      </c>
      <c r="H77" t="n">
        <v>18000</v>
      </c>
      <c r="I77" t="n">
        <v>0.1</v>
      </c>
      <c r="J77" t="inlineStr">
        <is>
          <t>Pending</t>
        </is>
      </c>
      <c r="K77">
        <f>G77*H77</f>
        <v/>
      </c>
      <c r="L77">
        <f>K77*I77</f>
        <v/>
      </c>
      <c r="M77">
        <f>K77-L77</f>
        <v/>
      </c>
      <c r="N77">
        <f>M77*IF(D77="Electronics",0.15,IF(D77="Furniture",0.20,0.25))</f>
        <v/>
      </c>
      <c r="O77">
        <f>TEXT(B77,"mmm")</f>
        <v/>
      </c>
      <c r="P77">
        <f>YEAR(B77)</f>
        <v/>
      </c>
      <c r="Q77">
        <f>TEXT(B77,"dddd")</f>
        <v/>
      </c>
    </row>
    <row r="78">
      <c r="A78" t="inlineStr">
        <is>
          <t>O075</t>
        </is>
      </c>
      <c r="B78" s="3" t="n">
        <v>45769</v>
      </c>
      <c r="C78" t="inlineStr">
        <is>
          <t>West</t>
        </is>
      </c>
      <c r="D78" t="inlineStr">
        <is>
          <t>Accessories</t>
        </is>
      </c>
      <c r="E78" t="inlineStr">
        <is>
          <t>Mouse</t>
        </is>
      </c>
      <c r="F78" t="inlineStr">
        <is>
          <t>Neha</t>
        </is>
      </c>
      <c r="G78" t="n">
        <v>4</v>
      </c>
      <c r="H78" t="n">
        <v>900</v>
      </c>
      <c r="I78" t="n">
        <v>0</v>
      </c>
      <c r="J78" t="inlineStr">
        <is>
          <t>Cancelled</t>
        </is>
      </c>
      <c r="K78">
        <f>G78*H78</f>
        <v/>
      </c>
      <c r="L78">
        <f>K78*I78</f>
        <v/>
      </c>
      <c r="M78">
        <f>K78-L78</f>
        <v/>
      </c>
      <c r="N78">
        <f>M78*IF(D78="Electronics",0.15,IF(D78="Furniture",0.20,0.25))</f>
        <v/>
      </c>
      <c r="O78">
        <f>TEXT(B78,"mmm")</f>
        <v/>
      </c>
      <c r="P78">
        <f>YEAR(B78)</f>
        <v/>
      </c>
      <c r="Q78">
        <f>TEXT(B78,"dddd")</f>
        <v/>
      </c>
    </row>
    <row r="79">
      <c r="A79" t="inlineStr">
        <is>
          <t>O076</t>
        </is>
      </c>
      <c r="B79" s="3" t="n">
        <v>45800</v>
      </c>
      <c r="C79" t="inlineStr">
        <is>
          <t>North</t>
        </is>
      </c>
      <c r="D79" t="inlineStr">
        <is>
          <t>Furniture</t>
        </is>
      </c>
      <c r="E79" t="inlineStr">
        <is>
          <t>Chair</t>
        </is>
      </c>
      <c r="F79" t="inlineStr">
        <is>
          <t>Kabir</t>
        </is>
      </c>
      <c r="G79" t="n">
        <v>5</v>
      </c>
      <c r="H79" t="n">
        <v>8500</v>
      </c>
      <c r="I79" t="n">
        <v>0.02</v>
      </c>
      <c r="J79" t="inlineStr">
        <is>
          <t>Completed</t>
        </is>
      </c>
      <c r="K79">
        <f>G79*H79</f>
        <v/>
      </c>
      <c r="L79">
        <f>K79*I79</f>
        <v/>
      </c>
      <c r="M79">
        <f>K79-L79</f>
        <v/>
      </c>
      <c r="N79">
        <f>M79*IF(D79="Electronics",0.15,IF(D79="Furniture",0.20,0.25))</f>
        <v/>
      </c>
      <c r="O79">
        <f>TEXT(B79,"mmm")</f>
        <v/>
      </c>
      <c r="P79">
        <f>YEAR(B79)</f>
        <v/>
      </c>
      <c r="Q79">
        <f>TEXT(B79,"dddd")</f>
        <v/>
      </c>
    </row>
    <row r="80">
      <c r="A80" t="inlineStr">
        <is>
          <t>O077</t>
        </is>
      </c>
      <c r="B80" s="3" t="n">
        <v>45832</v>
      </c>
      <c r="C80" t="inlineStr">
        <is>
          <t>South</t>
        </is>
      </c>
      <c r="D80" t="inlineStr">
        <is>
          <t>Furniture</t>
        </is>
      </c>
      <c r="E80" t="inlineStr">
        <is>
          <t>Desk</t>
        </is>
      </c>
      <c r="F80" t="inlineStr">
        <is>
          <t>Sana</t>
        </is>
      </c>
      <c r="G80" t="n">
        <v>6</v>
      </c>
      <c r="H80" t="n">
        <v>12000</v>
      </c>
      <c r="I80" t="n">
        <v>0.05</v>
      </c>
      <c r="J80" t="inlineStr">
        <is>
          <t>Completed</t>
        </is>
      </c>
      <c r="K80">
        <f>G80*H80</f>
        <v/>
      </c>
      <c r="L80">
        <f>K80*I80</f>
        <v/>
      </c>
      <c r="M80">
        <f>K80-L80</f>
        <v/>
      </c>
      <c r="N80">
        <f>M80*IF(D80="Electronics",0.15,IF(D80="Furniture",0.20,0.25))</f>
        <v/>
      </c>
      <c r="O80">
        <f>TEXT(B80,"mmm")</f>
        <v/>
      </c>
      <c r="P80">
        <f>YEAR(B80)</f>
        <v/>
      </c>
      <c r="Q80">
        <f>TEXT(B80,"dddd")</f>
        <v/>
      </c>
    </row>
    <row r="81">
      <c r="A81" t="inlineStr">
        <is>
          <t>O078</t>
        </is>
      </c>
      <c r="B81" s="3" t="n">
        <v>45863</v>
      </c>
      <c r="C81" t="inlineStr">
        <is>
          <t>East</t>
        </is>
      </c>
      <c r="D81" t="inlineStr">
        <is>
          <t>Accessories</t>
        </is>
      </c>
      <c r="E81" t="inlineStr">
        <is>
          <t>Keyboard</t>
        </is>
      </c>
      <c r="F81" t="inlineStr">
        <is>
          <t>Ishaan</t>
        </is>
      </c>
      <c r="G81" t="n">
        <v>7</v>
      </c>
      <c r="H81" t="n">
        <v>1800</v>
      </c>
      <c r="I81" t="n">
        <v>0.08</v>
      </c>
      <c r="J81" t="inlineStr">
        <is>
          <t>Pending</t>
        </is>
      </c>
      <c r="K81">
        <f>G81*H81</f>
        <v/>
      </c>
      <c r="L81">
        <f>K81*I81</f>
        <v/>
      </c>
      <c r="M81">
        <f>K81-L81</f>
        <v/>
      </c>
      <c r="N81">
        <f>M81*IF(D81="Electronics",0.15,IF(D81="Furniture",0.20,0.25))</f>
        <v/>
      </c>
      <c r="O81">
        <f>TEXT(B81,"mmm")</f>
        <v/>
      </c>
      <c r="P81">
        <f>YEAR(B81)</f>
        <v/>
      </c>
      <c r="Q81">
        <f>TEXT(B81,"dddd")</f>
        <v/>
      </c>
    </row>
    <row r="82">
      <c r="A82" t="inlineStr">
        <is>
          <t>O079</t>
        </is>
      </c>
      <c r="B82" s="3" t="n">
        <v>45895</v>
      </c>
      <c r="C82" t="inlineStr">
        <is>
          <t>West</t>
        </is>
      </c>
      <c r="D82" t="inlineStr">
        <is>
          <t>Electronics</t>
        </is>
      </c>
      <c r="E82" t="inlineStr">
        <is>
          <t>Laptop</t>
        </is>
      </c>
      <c r="F82" t="inlineStr">
        <is>
          <t>Meera</t>
        </is>
      </c>
      <c r="G82" t="n">
        <v>8</v>
      </c>
      <c r="H82" t="n">
        <v>55000</v>
      </c>
      <c r="I82" t="n">
        <v>0.1</v>
      </c>
      <c r="J82" t="inlineStr">
        <is>
          <t>Cancelled</t>
        </is>
      </c>
      <c r="K82">
        <f>G82*H82</f>
        <v/>
      </c>
      <c r="L82">
        <f>K82*I82</f>
        <v/>
      </c>
      <c r="M82">
        <f>K82-L82</f>
        <v/>
      </c>
      <c r="N82">
        <f>M82*IF(D82="Electronics",0.15,IF(D82="Furniture",0.20,0.25))</f>
        <v/>
      </c>
      <c r="O82">
        <f>TEXT(B82,"mmm")</f>
        <v/>
      </c>
      <c r="P82">
        <f>YEAR(B82)</f>
        <v/>
      </c>
      <c r="Q82">
        <f>TEXT(B82,"dddd")</f>
        <v/>
      </c>
    </row>
    <row r="83">
      <c r="A83" t="inlineStr">
        <is>
          <t>O080</t>
        </is>
      </c>
      <c r="B83" s="3" t="n">
        <v>45927</v>
      </c>
      <c r="C83" t="inlineStr">
        <is>
          <t>North</t>
        </is>
      </c>
      <c r="D83" t="inlineStr">
        <is>
          <t>Electronics</t>
        </is>
      </c>
      <c r="E83" t="inlineStr">
        <is>
          <t>Monitor</t>
        </is>
      </c>
      <c r="F83" t="inlineStr">
        <is>
          <t>Aarav</t>
        </is>
      </c>
      <c r="G83" t="n">
        <v>1</v>
      </c>
      <c r="H83" t="n">
        <v>18000</v>
      </c>
      <c r="I83" t="n">
        <v>0</v>
      </c>
      <c r="J83" t="inlineStr">
        <is>
          <t>Completed</t>
        </is>
      </c>
      <c r="K83">
        <f>G83*H83</f>
        <v/>
      </c>
      <c r="L83">
        <f>K83*I83</f>
        <v/>
      </c>
      <c r="M83">
        <f>K83-L83</f>
        <v/>
      </c>
      <c r="N83">
        <f>M83*IF(D83="Electronics",0.15,IF(D83="Furniture",0.20,0.25))</f>
        <v/>
      </c>
      <c r="O83">
        <f>TEXT(B83,"mmm")</f>
        <v/>
      </c>
      <c r="P83">
        <f>YEAR(B83)</f>
        <v/>
      </c>
      <c r="Q83">
        <f>TEXT(B83,"dddd")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7" customWidth="1" min="5" max="5"/>
  </cols>
  <sheetData>
    <row r="1"/>
    <row r="2"/>
    <row r="3">
      <c r="A3" s="2" t="inlineStr">
        <is>
          <t>Product_ID</t>
        </is>
      </c>
      <c r="B3" s="2" t="inlineStr">
        <is>
          <t>Product</t>
        </is>
      </c>
      <c r="C3" s="2" t="inlineStr">
        <is>
          <t>Category</t>
        </is>
      </c>
      <c r="D3" s="2" t="inlineStr">
        <is>
          <t>Price</t>
        </is>
      </c>
      <c r="E3" s="2" t="inlineStr">
        <is>
          <t>Standard Margin</t>
        </is>
      </c>
    </row>
    <row r="4">
      <c r="A4" t="inlineStr">
        <is>
          <t>P001</t>
        </is>
      </c>
      <c r="B4" t="inlineStr">
        <is>
          <t>Laptop</t>
        </is>
      </c>
      <c r="C4" t="inlineStr">
        <is>
          <t>Electronics</t>
        </is>
      </c>
      <c r="D4" t="n">
        <v>55000</v>
      </c>
      <c r="E4" t="n">
        <v>0.15</v>
      </c>
    </row>
    <row r="5">
      <c r="A5" t="inlineStr">
        <is>
          <t>P002</t>
        </is>
      </c>
      <c r="B5" t="inlineStr">
        <is>
          <t>Monitor</t>
        </is>
      </c>
      <c r="C5" t="inlineStr">
        <is>
          <t>Electronics</t>
        </is>
      </c>
      <c r="D5" t="n">
        <v>18000</v>
      </c>
      <c r="E5" t="n">
        <v>0.15</v>
      </c>
    </row>
    <row r="6">
      <c r="A6" t="inlineStr">
        <is>
          <t>P003</t>
        </is>
      </c>
      <c r="B6" t="inlineStr">
        <is>
          <t>Mouse</t>
        </is>
      </c>
      <c r="C6" t="inlineStr">
        <is>
          <t>Accessories</t>
        </is>
      </c>
      <c r="D6" t="n">
        <v>900</v>
      </c>
      <c r="E6" t="n">
        <v>0.25</v>
      </c>
    </row>
    <row r="7">
      <c r="A7" t="inlineStr">
        <is>
          <t>P004</t>
        </is>
      </c>
      <c r="B7" t="inlineStr">
        <is>
          <t>Chair</t>
        </is>
      </c>
      <c r="C7" t="inlineStr">
        <is>
          <t>Furniture</t>
        </is>
      </c>
      <c r="D7" t="n">
        <v>8500</v>
      </c>
      <c r="E7" t="n">
        <v>0.2</v>
      </c>
    </row>
    <row r="8">
      <c r="A8" t="inlineStr">
        <is>
          <t>P005</t>
        </is>
      </c>
      <c r="B8" t="inlineStr">
        <is>
          <t>Desk</t>
        </is>
      </c>
      <c r="C8" t="inlineStr">
        <is>
          <t>Furniture</t>
        </is>
      </c>
      <c r="D8" t="n">
        <v>12000</v>
      </c>
      <c r="E8" t="n">
        <v>0.2</v>
      </c>
    </row>
    <row r="9">
      <c r="A9" t="inlineStr">
        <is>
          <t>P006</t>
        </is>
      </c>
      <c r="B9" t="inlineStr">
        <is>
          <t>Keyboard</t>
        </is>
      </c>
      <c r="C9" t="inlineStr">
        <is>
          <t>Accessories</t>
        </is>
      </c>
      <c r="D9" t="n">
        <v>1800</v>
      </c>
      <c r="E9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/>
    <row r="2"/>
    <row r="3">
      <c r="A3" s="2" t="inlineStr">
        <is>
          <t>Employee_ID</t>
        </is>
      </c>
      <c r="B3" s="2" t="inlineStr">
        <is>
          <t>Employee</t>
        </is>
      </c>
      <c r="C3" s="2" t="inlineStr">
        <is>
          <t>Department</t>
        </is>
      </c>
      <c r="D3" s="2" t="inlineStr">
        <is>
          <t>Region</t>
        </is>
      </c>
      <c r="E3" s="2" t="inlineStr">
        <is>
          <t>Salary</t>
        </is>
      </c>
    </row>
    <row r="4">
      <c r="A4" t="inlineStr">
        <is>
          <t>E001</t>
        </is>
      </c>
      <c r="B4" t="inlineStr">
        <is>
          <t>Aarav</t>
        </is>
      </c>
      <c r="C4" t="inlineStr">
        <is>
          <t>IT</t>
        </is>
      </c>
      <c r="D4" t="inlineStr">
        <is>
          <t>South</t>
        </is>
      </c>
      <c r="E4" t="n">
        <v>32500</v>
      </c>
    </row>
    <row r="5">
      <c r="A5" t="inlineStr">
        <is>
          <t>E002</t>
        </is>
      </c>
      <c r="B5" t="inlineStr">
        <is>
          <t>Riya</t>
        </is>
      </c>
      <c r="C5" t="inlineStr">
        <is>
          <t>HR</t>
        </is>
      </c>
      <c r="D5" t="inlineStr">
        <is>
          <t>East</t>
        </is>
      </c>
      <c r="E5" t="n">
        <v>35000</v>
      </c>
    </row>
    <row r="6">
      <c r="A6" t="inlineStr">
        <is>
          <t>E003</t>
        </is>
      </c>
      <c r="B6" t="inlineStr">
        <is>
          <t>Rahul</t>
        </is>
      </c>
      <c r="C6" t="inlineStr">
        <is>
          <t>Finance</t>
        </is>
      </c>
      <c r="D6" t="inlineStr">
        <is>
          <t>West</t>
        </is>
      </c>
      <c r="E6" t="n">
        <v>37500</v>
      </c>
    </row>
    <row r="7">
      <c r="A7" t="inlineStr">
        <is>
          <t>E004</t>
        </is>
      </c>
      <c r="B7" t="inlineStr">
        <is>
          <t>Neha</t>
        </is>
      </c>
      <c r="C7" t="inlineStr">
        <is>
          <t>Sales</t>
        </is>
      </c>
      <c r="D7" t="inlineStr">
        <is>
          <t>North</t>
        </is>
      </c>
      <c r="E7" t="n">
        <v>40000</v>
      </c>
    </row>
    <row r="8">
      <c r="A8" t="inlineStr">
        <is>
          <t>E005</t>
        </is>
      </c>
      <c r="B8" t="inlineStr">
        <is>
          <t>Kabir</t>
        </is>
      </c>
      <c r="C8" t="inlineStr">
        <is>
          <t>IT</t>
        </is>
      </c>
      <c r="D8" t="inlineStr">
        <is>
          <t>South</t>
        </is>
      </c>
      <c r="E8" t="n">
        <v>42500</v>
      </c>
    </row>
    <row r="9">
      <c r="A9" t="inlineStr">
        <is>
          <t>E006</t>
        </is>
      </c>
      <c r="B9" t="inlineStr">
        <is>
          <t>Sana</t>
        </is>
      </c>
      <c r="C9" t="inlineStr">
        <is>
          <t>HR</t>
        </is>
      </c>
      <c r="D9" t="inlineStr">
        <is>
          <t>East</t>
        </is>
      </c>
      <c r="E9" t="n">
        <v>45000</v>
      </c>
    </row>
    <row r="10">
      <c r="A10" t="inlineStr">
        <is>
          <t>E007</t>
        </is>
      </c>
      <c r="B10" t="inlineStr">
        <is>
          <t>Ishaan</t>
        </is>
      </c>
      <c r="C10" t="inlineStr">
        <is>
          <t>Finance</t>
        </is>
      </c>
      <c r="D10" t="inlineStr">
        <is>
          <t>West</t>
        </is>
      </c>
      <c r="E10" t="n">
        <v>47500</v>
      </c>
    </row>
    <row r="11">
      <c r="A11" t="inlineStr">
        <is>
          <t>E008</t>
        </is>
      </c>
      <c r="B11" t="inlineStr">
        <is>
          <t>Meera</t>
        </is>
      </c>
      <c r="C11" t="inlineStr">
        <is>
          <t>Sales</t>
        </is>
      </c>
      <c r="D11" t="inlineStr">
        <is>
          <t>North</t>
        </is>
      </c>
      <c r="E11" t="n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</cols>
  <sheetData>
    <row r="1"/>
    <row r="2"/>
    <row r="3">
      <c r="A3" s="2" t="inlineStr">
        <is>
          <t>Metric</t>
        </is>
      </c>
      <c r="B3" s="2" t="inlineStr">
        <is>
          <t>Formula / Result</t>
        </is>
      </c>
    </row>
    <row r="4">
      <c r="A4" t="inlineStr">
        <is>
          <t>Total Sales</t>
        </is>
      </c>
      <c r="B4">
        <f>SUM(Raw_Data!M4:M83)</f>
        <v/>
      </c>
    </row>
    <row r="5">
      <c r="A5" t="inlineStr">
        <is>
          <t>Total Profit</t>
        </is>
      </c>
      <c r="B5">
        <f>SUM(Raw_Data!N4:N83)</f>
        <v/>
      </c>
    </row>
    <row r="6">
      <c r="A6" t="inlineStr">
        <is>
          <t>Total Orders</t>
        </is>
      </c>
      <c r="B6">
        <f>COUNTA(Raw_Data!A4:A83)</f>
        <v/>
      </c>
    </row>
    <row r="7">
      <c r="A7" t="inlineStr">
        <is>
          <t>Total Quantity</t>
        </is>
      </c>
      <c r="B7">
        <f>SUM(Raw_Data!G4:G83)</f>
        <v/>
      </c>
    </row>
    <row r="8">
      <c r="A8" t="inlineStr">
        <is>
          <t>Average Order Value</t>
        </is>
      </c>
      <c r="B8">
        <f>B4/B6</f>
        <v/>
      </c>
    </row>
    <row r="9">
      <c r="A9" t="inlineStr">
        <is>
          <t>Completed Orders</t>
        </is>
      </c>
      <c r="B9">
        <f>COUNTIF(Raw_Data!J4:J83,"Completed")</f>
        <v/>
      </c>
    </row>
    <row r="10">
      <c r="A10" t="inlineStr">
        <is>
          <t>Pending Orders</t>
        </is>
      </c>
      <c r="B10">
        <f>COUNTIF(Raw_Data!J4:J83,"Pending")</f>
        <v/>
      </c>
    </row>
    <row r="11">
      <c r="A11" t="inlineStr">
        <is>
          <t>Cancelled Orders</t>
        </is>
      </c>
      <c r="B11">
        <f>COUNTIF(Raw_Data!J4:J83,"Cancelled")</f>
        <v/>
      </c>
    </row>
    <row r="12">
      <c r="A12" t="inlineStr">
        <is>
          <t>Electronics Sales</t>
        </is>
      </c>
      <c r="B12">
        <f>SUMIF(Raw_Data!D4:D83,"Electronics",Raw_Data!M4:M83)</f>
        <v/>
      </c>
    </row>
    <row r="13">
      <c r="A13" t="inlineStr">
        <is>
          <t>North Sales</t>
        </is>
      </c>
      <c r="B13">
        <f>SUMIF(Raw_Data!C4:C83,"North",Raw_Data!M4:M83)</f>
        <v/>
      </c>
    </row>
    <row r="14">
      <c r="A14" t="inlineStr">
        <is>
          <t>Completed North Sales</t>
        </is>
      </c>
      <c r="B14">
        <f>SUMIFS(Raw_Data!M4:M83,Raw_Data!C4:C83,"North",Raw_Data!J4:J83,"Completed")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</cols>
  <sheetData>
    <row r="1"/>
    <row r="2"/>
    <row r="3">
      <c r="A3" s="2" t="inlineStr">
        <is>
          <t>Product_ID</t>
        </is>
      </c>
      <c r="B3" s="2" t="inlineStr">
        <is>
          <t>XLOOKUP Product</t>
        </is>
      </c>
      <c r="C3" s="2" t="inlineStr">
        <is>
          <t>VLOOKUP Price</t>
        </is>
      </c>
      <c r="D3" s="2" t="inlineStr">
        <is>
          <t>INDEX/MATCH Category</t>
        </is>
      </c>
    </row>
    <row r="4">
      <c r="A4" t="inlineStr">
        <is>
          <t>P001</t>
        </is>
      </c>
      <c r="B4">
        <f>XLOOKUP(A4,Product_Master!A:A,Product_Master!B:B,"Not Found")</f>
        <v/>
      </c>
      <c r="C4">
        <f>IFERROR(VLOOKUP(A4,Product_Master!A:E,4,FALSE),"Not Found")</f>
        <v/>
      </c>
      <c r="D4">
        <f>IFERROR(INDEX(Product_Master!C:C,MATCH(A4,Product_Master!A:A,0)),"Not Found")</f>
        <v/>
      </c>
    </row>
    <row r="5">
      <c r="A5" t="inlineStr">
        <is>
          <t>P003</t>
        </is>
      </c>
      <c r="B5">
        <f>XLOOKUP(A5,Product_Master!A:A,Product_Master!B:B,"Not Found")</f>
        <v/>
      </c>
      <c r="C5">
        <f>IFERROR(VLOOKUP(A5,Product_Master!A:E,4,FALSE),"Not Found")</f>
        <v/>
      </c>
      <c r="D5">
        <f>IFERROR(INDEX(Product_Master!C:C,MATCH(A5,Product_Master!A:A,0)),"Not Found")</f>
        <v/>
      </c>
    </row>
    <row r="6">
      <c r="A6" t="inlineStr">
        <is>
          <t>P006</t>
        </is>
      </c>
      <c r="B6">
        <f>XLOOKUP(A6,Product_Master!A:A,Product_Master!B:B,"Not Found")</f>
        <v/>
      </c>
      <c r="C6">
        <f>IFERROR(VLOOKUP(A6,Product_Master!A:E,4,FALSE),"Not Found")</f>
        <v/>
      </c>
      <c r="D6">
        <f>IFERROR(INDEX(Product_Master!C:C,MATCH(A6,Product_Master!A:A,0)),"Not Found")</f>
        <v/>
      </c>
    </row>
    <row r="7">
      <c r="A7" t="inlineStr">
        <is>
          <t>P999</t>
        </is>
      </c>
      <c r="B7">
        <f>XLOOKUP(A7,Product_Master!A:A,Product_Master!B:B,"Not Found")</f>
        <v/>
      </c>
      <c r="C7">
        <f>IFERROR(VLOOKUP(A7,Product_Master!A:E,4,FALSE),"Not Found")</f>
        <v/>
      </c>
      <c r="D7">
        <f>IFERROR(INDEX(Product_Master!C:C,MATCH(A7,Product_Master!A:A,0)),"Not Found")</f>
        <v/>
      </c>
    </row>
    <row r="8"/>
    <row r="9"/>
    <row r="10">
      <c r="A10" s="2" t="inlineStr">
        <is>
          <t>Function</t>
        </is>
      </c>
      <c r="B10" s="2" t="inlineStr">
        <is>
          <t>Formula</t>
        </is>
      </c>
    </row>
    <row r="11">
      <c r="A11" t="inlineStr">
        <is>
          <t>CONCAT</t>
        </is>
      </c>
      <c r="B11">
        <f>CONCAT("Excel"," ","Project")</f>
        <v/>
      </c>
    </row>
    <row r="12">
      <c r="A12" t="inlineStr">
        <is>
          <t>TEXTJOIN</t>
        </is>
      </c>
      <c r="B12">
        <f>TEXTJOIN(" - ",TRUE,"Excel","SQL","Python")</f>
        <v/>
      </c>
    </row>
    <row r="13">
      <c r="A13" t="inlineStr">
        <is>
          <t>SUBSTITUTE</t>
        </is>
      </c>
      <c r="B13">
        <f>SUBSTITUTE("Sales Analysis","Sales","Data")</f>
        <v/>
      </c>
    </row>
    <row r="14">
      <c r="A14" t="inlineStr">
        <is>
          <t>FIND</t>
        </is>
      </c>
      <c r="B14">
        <f>FIND("@","test@example.com")</f>
        <v/>
      </c>
    </row>
    <row r="15">
      <c r="A15" t="inlineStr">
        <is>
          <t>YEAR</t>
        </is>
      </c>
      <c r="B15">
        <f>YEAR(TODAY())</f>
        <v/>
      </c>
    </row>
    <row r="16">
      <c r="A16" t="inlineStr">
        <is>
          <t>MONTH</t>
        </is>
      </c>
      <c r="B16">
        <f>MONTH(TODAY())</f>
        <v/>
      </c>
    </row>
    <row r="17">
      <c r="A17" t="inlineStr">
        <is>
          <t>DAY</t>
        </is>
      </c>
      <c r="B17">
        <f>DAY(TODAY())</f>
        <v/>
      </c>
    </row>
    <row r="18">
      <c r="A18" t="inlineStr">
        <is>
          <t>EOMONTH</t>
        </is>
      </c>
      <c r="B18">
        <f>EOMONTH(TODAY(),0)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15" customWidth="1" min="5" max="5"/>
  </cols>
  <sheetData>
    <row r="1"/>
    <row r="2"/>
    <row r="3">
      <c r="A3" s="2" t="inlineStr">
        <is>
          <t>Region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Orders</t>
        </is>
      </c>
      <c r="E3" s="2" t="inlineStr">
        <is>
          <t>Profit Margin</t>
        </is>
      </c>
    </row>
    <row r="4">
      <c r="A4" t="inlineStr">
        <is>
          <t>North</t>
        </is>
      </c>
      <c r="B4">
        <f>SUMIF(Raw_Data!C4:C83,A4,Raw_Data!M4:M83)</f>
        <v/>
      </c>
      <c r="C4">
        <f>SUMIF(Raw_Data!C4:C83,A4,Raw_Data!N4:N83)</f>
        <v/>
      </c>
      <c r="D4">
        <f>COUNTIF(Raw_Data!C4:C83,A4)</f>
        <v/>
      </c>
      <c r="E4" s="4">
        <f>C4/B4</f>
        <v/>
      </c>
    </row>
    <row r="5">
      <c r="A5" t="inlineStr">
        <is>
          <t>South</t>
        </is>
      </c>
      <c r="B5">
        <f>SUMIF(Raw_Data!C4:C83,A5,Raw_Data!M4:M83)</f>
        <v/>
      </c>
      <c r="C5">
        <f>SUMIF(Raw_Data!C4:C83,A5,Raw_Data!N4:N83)</f>
        <v/>
      </c>
      <c r="D5">
        <f>COUNTIF(Raw_Data!C4:C83,A5)</f>
        <v/>
      </c>
      <c r="E5" s="4">
        <f>C5/B5</f>
        <v/>
      </c>
    </row>
    <row r="6">
      <c r="A6" t="inlineStr">
        <is>
          <t>East</t>
        </is>
      </c>
      <c r="B6">
        <f>SUMIF(Raw_Data!C4:C83,A6,Raw_Data!M4:M83)</f>
        <v/>
      </c>
      <c r="C6">
        <f>SUMIF(Raw_Data!C4:C83,A6,Raw_Data!N4:N83)</f>
        <v/>
      </c>
      <c r="D6">
        <f>COUNTIF(Raw_Data!C4:C83,A6)</f>
        <v/>
      </c>
      <c r="E6" s="4">
        <f>C6/B6</f>
        <v/>
      </c>
    </row>
    <row r="7">
      <c r="A7" t="inlineStr">
        <is>
          <t>West</t>
        </is>
      </c>
      <c r="B7">
        <f>SUMIF(Raw_Data!C4:C83,A7,Raw_Data!M4:M83)</f>
        <v/>
      </c>
      <c r="C7">
        <f>SUMIF(Raw_Data!C4:C83,A7,Raw_Data!N4:N83)</f>
        <v/>
      </c>
      <c r="D7">
        <f>COUNTIF(Raw_Data!C4:C83,A7)</f>
        <v/>
      </c>
      <c r="E7" s="4">
        <f>C7/B7</f>
        <v/>
      </c>
    </row>
    <row r="8"/>
    <row r="9"/>
    <row r="10">
      <c r="A10" s="2" t="inlineStr">
        <is>
          <t>Category</t>
        </is>
      </c>
      <c r="B10" s="2" t="inlineStr">
        <is>
          <t>Sales</t>
        </is>
      </c>
      <c r="C10" s="2" t="inlineStr">
        <is>
          <t>Orders</t>
        </is>
      </c>
    </row>
    <row r="11">
      <c r="A11" t="inlineStr">
        <is>
          <t>Electronics</t>
        </is>
      </c>
      <c r="B11">
        <f>SUMIF(Raw_Data!D4:D83,A11,Raw_Data!M4:M83)</f>
        <v/>
      </c>
      <c r="C11">
        <f>COUNTIF(Raw_Data!D4:D83,A11)</f>
        <v/>
      </c>
    </row>
    <row r="12">
      <c r="A12" t="inlineStr">
        <is>
          <t>Furniture</t>
        </is>
      </c>
      <c r="B12">
        <f>SUMIF(Raw_Data!D4:D83,A12,Raw_Data!M4:M83)</f>
        <v/>
      </c>
      <c r="C12">
        <f>COUNTIF(Raw_Data!D4:D83,A12)</f>
        <v/>
      </c>
    </row>
    <row r="13">
      <c r="A13" t="inlineStr">
        <is>
          <t>Accessories</t>
        </is>
      </c>
      <c r="B13">
        <f>SUMIF(Raw_Data!D4:D83,A13,Raw_Data!M4:M83)</f>
        <v/>
      </c>
      <c r="C13">
        <f>COUNTIF(Raw_Data!D4:D83,A13)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6" customWidth="1" min="4" max="4"/>
    <col width="10" customWidth="1" min="5" max="5"/>
    <col width="10" customWidth="1" min="6" max="6"/>
    <col width="25" customWidth="1" min="7" max="7"/>
    <col width="10" customWidth="1" min="8" max="8"/>
    <col width="10" customWidth="1" min="9" max="9"/>
    <col width="26" customWidth="1" min="10" max="10"/>
    <col width="10" customWidth="1" min="11" max="11"/>
    <col width="10" customWidth="1" min="12" max="12"/>
  </cols>
  <sheetData>
    <row r="1">
      <c r="A1" s="1" t="inlineStr">
        <is>
          <t>FINAL SALES ANALYTICS DASHBOARD</t>
        </is>
      </c>
    </row>
    <row r="2"/>
    <row r="3"/>
    <row r="4">
      <c r="A4" s="5" t="inlineStr">
        <is>
          <t>Total Sales
=Calculations!B4</t>
        </is>
      </c>
      <c r="D4" s="5" t="inlineStr">
        <is>
          <t>Total Profit
=Calculations!B5</t>
        </is>
      </c>
      <c r="G4" s="5" t="inlineStr">
        <is>
          <t>Orders
=Calculations!B6</t>
        </is>
      </c>
      <c r="J4" s="5" t="inlineStr">
        <is>
          <t>Avg Order
=Calculations!B8</t>
        </is>
      </c>
    </row>
    <row r="5"/>
    <row r="6"/>
    <row r="7"/>
    <row r="8"/>
    <row r="9">
      <c r="A9" s="2" t="inlineStr">
        <is>
          <t>Region</t>
        </is>
      </c>
      <c r="B9" s="2" t="inlineStr">
        <is>
          <t>Sales</t>
        </is>
      </c>
      <c r="C9" s="2" t="inlineStr">
        <is>
          <t>Profit</t>
        </is>
      </c>
      <c r="D9" s="2" t="inlineStr">
        <is>
          <t>Orders</t>
        </is>
      </c>
    </row>
    <row r="10">
      <c r="A10">
        <f>Pivot_Analysis!A4</f>
        <v/>
      </c>
      <c r="B10">
        <f>Pivot_Analysis!B4</f>
        <v/>
      </c>
      <c r="C10">
        <f>Pivot_Analysis!C4</f>
        <v/>
      </c>
      <c r="D10">
        <f>Pivot_Analysis!D4</f>
        <v/>
      </c>
    </row>
    <row r="11">
      <c r="A11">
        <f>Pivot_Analysis!A5</f>
        <v/>
      </c>
      <c r="B11">
        <f>Pivot_Analysis!B5</f>
        <v/>
      </c>
      <c r="C11">
        <f>Pivot_Analysis!C5</f>
        <v/>
      </c>
      <c r="D11">
        <f>Pivot_Analysis!D5</f>
        <v/>
      </c>
    </row>
    <row r="12">
      <c r="A12">
        <f>Pivot_Analysis!A6</f>
        <v/>
      </c>
      <c r="B12">
        <f>Pivot_Analysis!B6</f>
        <v/>
      </c>
      <c r="C12">
        <f>Pivot_Analysis!C6</f>
        <v/>
      </c>
      <c r="D12">
        <f>Pivot_Analysis!D6</f>
        <v/>
      </c>
    </row>
    <row r="13">
      <c r="A13">
        <f>Pivot_Analysis!A7</f>
        <v/>
      </c>
      <c r="B13">
        <f>Pivot_Analysis!B7</f>
        <v/>
      </c>
      <c r="C13">
        <f>Pivot_Analysis!C7</f>
        <v/>
      </c>
      <c r="D13">
        <f>Pivot_Analysis!D7</f>
        <v/>
      </c>
    </row>
  </sheetData>
  <mergeCells count="5">
    <mergeCell ref="G4:I6"/>
    <mergeCell ref="J4:L6"/>
    <mergeCell ref="A1:L1"/>
    <mergeCell ref="A4:C6"/>
    <mergeCell ref="D4:F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